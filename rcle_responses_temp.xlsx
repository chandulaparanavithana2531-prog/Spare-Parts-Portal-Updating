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ndu" sheetId="1" r:id="rId5"/>
    <sheet state="visible" name="Arushan" sheetId="2" r:id="rId6"/>
    <sheet state="visible" name="Full List" sheetId="3" r:id="rId7"/>
  </sheets>
  <definedNames/>
  <calcPr/>
</workbook>
</file>

<file path=xl/sharedStrings.xml><?xml version="1.0" encoding="utf-8"?>
<sst xmlns="http://schemas.openxmlformats.org/spreadsheetml/2006/main" count="4913" uniqueCount="2528">
  <si>
    <t>Organization: GSC</t>
  </si>
  <si>
    <t>Description</t>
  </si>
  <si>
    <t>Primary UOM</t>
  </si>
  <si>
    <t>Currency</t>
  </si>
  <si>
    <t>Unit value</t>
  </si>
  <si>
    <t>Quantity Total</t>
  </si>
  <si>
    <t>Value Total</t>
  </si>
  <si>
    <t>SE.001.000039.00.00</t>
  </si>
  <si>
    <t>MAGNETIC CONTACTOR-15KW 110V</t>
  </si>
  <si>
    <t>EA</t>
  </si>
  <si>
    <t>LKR</t>
  </si>
  <si>
    <t>SE.001.000042.00.00</t>
  </si>
  <si>
    <t>MAGNETIC CONTACTOR-18.5KW 110V</t>
  </si>
  <si>
    <t>Timestamp</t>
  </si>
  <si>
    <t>SE.001.000054.00.00</t>
  </si>
  <si>
    <t>MAGNETIC CONTACTOR-22KW 110V</t>
  </si>
  <si>
    <t>SE.001.000075.05.84</t>
  </si>
  <si>
    <t>MAGNETIC CONTACTOR-7.5KW 110V</t>
  </si>
  <si>
    <t>Material No:</t>
  </si>
  <si>
    <t>Unit Value</t>
  </si>
  <si>
    <t>SE.001.000139.05.86</t>
  </si>
  <si>
    <t>RELAY-PHO20015917/21.2/48</t>
  </si>
  <si>
    <t>Quantity</t>
  </si>
  <si>
    <t>EUR</t>
  </si>
  <si>
    <t>Total Value</t>
  </si>
  <si>
    <t>Image</t>
  </si>
  <si>
    <t>Machine Name</t>
  </si>
  <si>
    <t>SE.001.000159.00.00</t>
  </si>
  <si>
    <t>RELAY-THERMAL OVERLOAD 32-50A</t>
  </si>
  <si>
    <t>Criticality</t>
  </si>
  <si>
    <t>Usability</t>
  </si>
  <si>
    <t>SE.001.000177.00.00</t>
  </si>
  <si>
    <t>THERMAL MAGNETIC SWITCH-0.6-1A</t>
  </si>
  <si>
    <t>SM.007.001714.07.AA</t>
  </si>
  <si>
    <t>SE.001.000178.00.00</t>
  </si>
  <si>
    <t>THERMAL MAGNETIC SWITCH-1-1.6A</t>
  </si>
  <si>
    <t>SE.001.000338.00.00</t>
  </si>
  <si>
    <t>CONTACT POINT FOR 3TF52 CONTACTOR</t>
  </si>
  <si>
    <t>SE.001.000349.00.00</t>
  </si>
  <si>
    <t>MAGNATIC CONTACTOR 3RT1036 / 24V AC</t>
  </si>
  <si>
    <t>SM.007.001049.00.00</t>
  </si>
  <si>
    <t>SE.001.000410.07.3N</t>
  </si>
  <si>
    <t>CONTACTOR AF26-30-00-11 24/60V-(SPCTEAB0440)</t>
  </si>
  <si>
    <t>SE.001.000411.07.3N</t>
  </si>
  <si>
    <t>CONTACTOR AF16-30-01-11 24/60V-(SPCTEAB0407)</t>
  </si>
  <si>
    <t>SE.001.000441.00.00</t>
  </si>
  <si>
    <t>MAGNETIC CONTACTOR 3TF5222-0AK6 (2NO, 2NC, 110 VAC)</t>
  </si>
  <si>
    <t>SE.001.000447.06.1T</t>
  </si>
  <si>
    <t>STATIC RELAY G 3R.ODX02SN (SPCTEAE0129)</t>
  </si>
  <si>
    <t>SE.001.000451.07.1T</t>
  </si>
  <si>
    <t>CONTACTOR AF16-30-10-11 24/60V (SPCTEAB0411)</t>
  </si>
  <si>
    <r>
      <rPr>
        <color rgb="FF1155CC"/>
        <u/>
      </rPr>
      <t>https://drive.google.com/open?id=1AmLLNXhNfpiok6EBeMsJV2sicdidPsyC</t>
    </r>
    <r>
      <rPr/>
      <t xml:space="preserve">
</t>
    </r>
    <r>
      <rPr>
        <color rgb="FF1155CC"/>
        <u/>
      </rPr>
      <t>https://drive.google.com/open?id=1yrnpiH513_TyTH-MBJx_w28c38iJSG9N</t>
    </r>
  </si>
  <si>
    <t>SE.001.000452.07.1T</t>
  </si>
  <si>
    <t>CONTACTOR AF30-30-00-11 24/60V SPCTEAB0444)</t>
  </si>
  <si>
    <t>SE.001.000462.08.AM</t>
  </si>
  <si>
    <t>SAFETY RELAYT (7700101009)</t>
  </si>
  <si>
    <t>https://drive.google.com/open?id=17Pb7Wcf1uAsvQdQLtMPsXPEpePDXKtKn
https://drive.google.com/open?id=1s9U2lLNmzkGwRrpBTJmAmvi5NMX7iUt5
https://drive.google.com/open?id=1zve26BLu9UglFAmPGJgZS3UYhojRr-Qo</t>
  </si>
  <si>
    <t>SM.007.001050.00.00</t>
  </si>
  <si>
    <t>SE.001.000485.02.47</t>
  </si>
  <si>
    <t>RELAY 4060488</t>
  </si>
  <si>
    <t>SE.001.001000.07.1T</t>
  </si>
  <si>
    <t>ABB AUXILIARY CONTACT BLOCK (NC)</t>
  </si>
  <si>
    <t>SE.001.001001.07.1T</t>
  </si>
  <si>
    <t>ABB AUXILIARY CONTACT BLOCK (NO)</t>
  </si>
  <si>
    <t>SE.001.001178.00.00</t>
  </si>
  <si>
    <t>THERMAL OVERLOAD RELAY 50 - 200A (3RB2056 - 1FC2)</t>
  </si>
  <si>
    <t>SE.001.003004.05.86</t>
  </si>
  <si>
    <t>MAGNETIC CONTACTOR[ 55kW/110VAC/3RT 1054]</t>
  </si>
  <si>
    <r>
      <rPr>
        <color rgb="FF1155CC"/>
        <u/>
      </rPr>
      <t>https://drive.google.com/open?id=1VRQSCCwxANm4VAYAZzPYlUwiOABKob6z</t>
    </r>
    <r>
      <rPr/>
      <t xml:space="preserve">
</t>
    </r>
    <r>
      <rPr>
        <color rgb="FF1155CC"/>
        <u/>
      </rPr>
      <t>https://drive.google.com/open?id=1rqsrYCVfgDKO6vJj86kzGFzeEWMOlEIq</t>
    </r>
    <r>
      <rPr/>
      <t xml:space="preserve">
</t>
    </r>
    <r>
      <rPr>
        <color rgb="FF1155CC"/>
        <u/>
      </rPr>
      <t>https://drive.google.com/open?id=1oqC58j4eNl--SoyRWBSl-BCGBmSUDNSY</t>
    </r>
  </si>
  <si>
    <t>SE.001.003013.00.01</t>
  </si>
  <si>
    <t>MAGNATIC CONTACTOR AF 09.30.10.11 24VAC</t>
  </si>
  <si>
    <t>SM.007.003098.00.00</t>
  </si>
  <si>
    <t>SE.001.003014.00.01</t>
  </si>
  <si>
    <t>MAGNATIC CONTACTOR AF 09.30.01.11 24VAC</t>
  </si>
  <si>
    <t>SE.001.003019.00.00</t>
  </si>
  <si>
    <t>MAGNETIC CONTACTOR LC1D115/55KW/110VAC SCHNEIDER</t>
  </si>
  <si>
    <t>SE.001.003027.00.00</t>
  </si>
  <si>
    <t>CAPACITOR CONTACTOR-LOVATO BF3800A</t>
  </si>
  <si>
    <t>SE.007.000164.05.87</t>
  </si>
  <si>
    <t>SE.002.000045.00.00</t>
  </si>
  <si>
    <t>MCCB-400A</t>
  </si>
  <si>
    <t>SE.002.000075.00.00</t>
  </si>
  <si>
    <t>MCCB-125A 3 POLE 25 KA</t>
  </si>
  <si>
    <t>SE.002.000127.00.00</t>
  </si>
  <si>
    <t>1600A, 400V, 55-85kA, 4P MCCB WITH UVT COIL</t>
  </si>
  <si>
    <t>SE.002.000138.00.00</t>
  </si>
  <si>
    <t>1600A, 450V 85/65KA 3POLE MCCB WITH COMPLETE UVT COIL SET</t>
  </si>
  <si>
    <t>https://drive.google.com/open?id=1cdn0jpC2WHUfjGK6IBw4h7pSc6ezRd2f
https://drive.google.com/open?id=13WKVBgaz2d5SZdfDcuKWXG9NzgY2DzV1</t>
  </si>
  <si>
    <t>SE.003.000111.00.00</t>
  </si>
  <si>
    <t>TIMER MTD16086928 (4033600)</t>
  </si>
  <si>
    <t>SE.003.000113.12.00</t>
  </si>
  <si>
    <r>
      <rPr>
        <color rgb="FF1155CC"/>
        <u/>
      </rPr>
      <t>https://drive.google.com/open?id=1Itn2hwkEljQ9rnbsSQKkqfWdIDqy4q-U</t>
    </r>
    <r>
      <rPr/>
      <t xml:space="preserve">
</t>
    </r>
    <r>
      <rPr>
        <color rgb="FF1155CC"/>
        <u/>
      </rPr>
      <t>https://drive.google.com/open?id=1dgavfYaV8NXJG0_mSDkv0-X2ZnfwrI0f</t>
    </r>
    <r>
      <rPr/>
      <t xml:space="preserve">
</t>
    </r>
    <r>
      <rPr>
        <color rgb="FF1155CC"/>
        <u/>
      </rPr>
      <t>https://drive.google.com/open?id=1cRwKhl12W5-WE5NAP-uq5X0lE4xdvWOT</t>
    </r>
  </si>
  <si>
    <t>TIMER FOR FAST MILL</t>
  </si>
  <si>
    <t>SE.003.000249.00.00</t>
  </si>
  <si>
    <t>TIMER 04033607</t>
  </si>
  <si>
    <t>SE.003.000771.02.47</t>
  </si>
  <si>
    <t>INDICATOR 4319109</t>
  </si>
  <si>
    <t>SE.003.000772.02.47</t>
  </si>
  <si>
    <t>TIMER 4033614</t>
  </si>
  <si>
    <t>SM.007.000797.09.4Y</t>
  </si>
  <si>
    <t>SE.004.000136.08.AM</t>
  </si>
  <si>
    <t>SE.007.000181.05.87</t>
  </si>
  <si>
    <t>INFORMER CARRIAGE BUTTON UNIT (2C002187)</t>
  </si>
  <si>
    <t>SE.005.000018.07.3K</t>
  </si>
  <si>
    <t>ENCODER-3880SE0030</t>
  </si>
  <si>
    <t>SE.005.000025.05.86</t>
  </si>
  <si>
    <t>ENCODER-4460507-18A/21</t>
  </si>
  <si>
    <t>SE.005.000032.05.1A</t>
  </si>
  <si>
    <t>ENCODER-EVA27087914 11A 09</t>
  </si>
  <si>
    <t>https://drive.google.com/open?id=1Q8znGCZjby0GXNieHsQZa1rZLj6m7zZ2
https://drive.google.com/open?id=1FUlW4rrxlVYh-T4CNz2mUe7ft1rul0kQ</t>
  </si>
  <si>
    <t>SE.005.000037.05.1R</t>
  </si>
  <si>
    <t>FLAME SENSOR -1/17.5 (DETECTOR)</t>
  </si>
  <si>
    <t>https://drive.google.com/open?id=1bDAYZjcTleXkP1mlZDtC2HY8tmp4i0oB
https://drive.google.com/open?id=1IbPPDFf1TIevyIbf-cCbt22QEPrs0QOl</t>
  </si>
  <si>
    <t>SE.005.000084.08.4J</t>
  </si>
  <si>
    <t>LINER RECEIVER 3320510002</t>
  </si>
  <si>
    <t>SE.005.000110.08.4F</t>
  </si>
  <si>
    <t>OPTICAL SENSOR MET60 TEMA 40530031</t>
  </si>
  <si>
    <t>SE.007.000184.05.87</t>
  </si>
  <si>
    <t>SE.005.000143.00.00</t>
  </si>
  <si>
    <t>PHOTOCELL-NPN/NO-M12 PIN TYPE</t>
  </si>
  <si>
    <t>SM.007.003107.00.00</t>
  </si>
  <si>
    <t>SE.005.000205.06.2C</t>
  </si>
  <si>
    <t>PRESSURE TRANSDUCER 10110002</t>
  </si>
  <si>
    <t>SE.005.000210.08.4J</t>
  </si>
  <si>
    <t>PROJECTOR-(3320510006)</t>
  </si>
  <si>
    <t>SE.005.000405.08.4F</t>
  </si>
  <si>
    <t>CAMERA-(40610028)</t>
  </si>
  <si>
    <t>https://drive.google.com/open?id=1QpWs2dviMVwSBa-QdGPsCpR-INED8wum
https://drive.google.com/open?id=1lch9utjjuK2zDScVoUgJFbQvz1HtHh0E</t>
  </si>
  <si>
    <t>SE.005.000419.08.4J</t>
  </si>
  <si>
    <t>PHOTOCELL SP2/AP-OE 10CM 24VDC PNP-(7600010014)</t>
  </si>
  <si>
    <t>SE.005.000421.08.4K</t>
  </si>
  <si>
    <t>PHOTOCELL SP2/AN-OE 10CM 24VDC NPN-(7600010010)</t>
  </si>
  <si>
    <t>SE.005.000426.08.4J</t>
  </si>
  <si>
    <t>SENSOR M5 MS308014-(9999150028)</t>
  </si>
  <si>
    <t>https://drive.google.com/open?id=12D3c8YNVFERvETpNqaajn7wpmNdQg2sG</t>
  </si>
  <si>
    <t>SE.007.000193.03.78</t>
  </si>
  <si>
    <t>SE.005.000473.06.2N</t>
  </si>
  <si>
    <t>PROJECTOR+RECEIVER 7m PNP-(C7605700002)</t>
  </si>
  <si>
    <t>SE.005.000488.08.5I</t>
  </si>
  <si>
    <t>DICO-PLANAR IR SENSOR (3515510502)</t>
  </si>
  <si>
    <t>SE.005.000516.03.AR</t>
  </si>
  <si>
    <t>FLAME DETECTOR-(1908347)</t>
  </si>
  <si>
    <t>https://drive.google.com/open?id=1GQNjWHTUhP8sQ9YXJ2Jv2gEdPlOf0_hL
https://drive.google.com/open?id=1fEphtp8wAOwbIc2s13QGonUwHF-6kDq-</t>
  </si>
  <si>
    <t>SM.007.000737.00.00</t>
  </si>
  <si>
    <t>SE.005.000519.05.AP</t>
  </si>
  <si>
    <t>ENCODER-(04460948)</t>
  </si>
  <si>
    <t>SE.005.000524.05.AP</t>
  </si>
  <si>
    <t>TRANSDUCER-(04200900)</t>
  </si>
  <si>
    <t>SE.005.000525.05.AP</t>
  </si>
  <si>
    <t>TRANSDUCER-(04400527)</t>
  </si>
  <si>
    <t>SE.005.000526.05.AP</t>
  </si>
  <si>
    <t>TRANSDUCER-(PHC04387925)</t>
  </si>
  <si>
    <t>SE.005.000547.05.AP</t>
  </si>
  <si>
    <t>READER-(SMC08536999)</t>
  </si>
  <si>
    <t>SE.007.000199.03.78</t>
  </si>
  <si>
    <t>SE.005.000594.00.00</t>
  </si>
  <si>
    <t>PROJECTOR &amp; RECIVER PHOTOCELL - OMRON E3Z T61-D E3V-Z4C3</t>
  </si>
  <si>
    <t>SE.005.000596.05.AP</t>
  </si>
  <si>
    <t>SENSOR - (70074)</t>
  </si>
  <si>
    <t>https://drive.google.com/open?id=1GLH5xPr-BWXULiIJvYjDVRkgQBFnc256
https://drive.google.com/open?id=1Wn4hdKm7oHKCv4gSqM-U5yOlZczTP0_Y</t>
  </si>
  <si>
    <t>SE.005.000602.05.AT</t>
  </si>
  <si>
    <t>THERMOSTAT (5742050)</t>
  </si>
  <si>
    <r>
      <rPr>
        <color rgb="FF1155CC"/>
        <u/>
      </rPr>
      <t>https://drive.google.com/open?id=1p9zrdcmK0MkIiA7S9Km46yCG27IDL6ng</t>
    </r>
    <r>
      <rPr/>
      <t xml:space="preserve">
</t>
    </r>
    <r>
      <rPr>
        <color rgb="FF1155CC"/>
        <u/>
      </rPr>
      <t>https://drive.google.com/open?id=1_eC-iMGdOocnMfiUHiBofUUn28NmOlfE
https://drive.google.com/open?id=1gjVtWallzbCeJUmcDSe2I4TZV02uARQe</t>
    </r>
  </si>
  <si>
    <t>SE.005.000604.06.2F</t>
  </si>
  <si>
    <t>TRANSMITTER 0-25BAR (WIKA)-(14212876 )</t>
  </si>
  <si>
    <t>SE.005.000609.03.AR</t>
  </si>
  <si>
    <t>SM.015.004216.19.6P</t>
  </si>
  <si>
    <t>MAX. OIL PRESSURE SWITCH-(3014180R)</t>
  </si>
  <si>
    <t>SE.005.000622.02.34</t>
  </si>
  <si>
    <t>CELL SCBX15.000</t>
  </si>
  <si>
    <t>SE.007.000211.05.97</t>
  </si>
  <si>
    <t>SE.005.000642.09.AE</t>
  </si>
  <si>
    <t>ENCODER (HE40H-6-600-3-N-24)</t>
  </si>
  <si>
    <t>USD</t>
  </si>
  <si>
    <t>SE.005.000669.02.02</t>
  </si>
  <si>
    <t>LOAD CELL FOR 1.5KW SENSOR (HSX 50KG)</t>
  </si>
  <si>
    <t>SE.005.000670.02.02</t>
  </si>
  <si>
    <t>https://drive.google.com/open?id=1I_7rRhIVdLz7rfYAm5h3Zska6LMrQACq
https://drive.google.com/open?id=1lCwVeY6GLZRCHklCSllMabgos1Oixe3s</t>
  </si>
  <si>
    <t>LOAD CELL AMPLIFIER ( WEIGHT TRANSMITTER KM02H1))</t>
  </si>
  <si>
    <t>https://drive.google.com/open?id=1qZM2YxwYjQFfOMeaOwrBvIi7gGkkkeFo
https://drive.google.com/open?id=1vWzWQa_cUEknqx6SoKbWgD6_MVW-K20a</t>
  </si>
  <si>
    <t>SE.005.001762.05.AT</t>
  </si>
  <si>
    <t>BUCKET POSITIONING ENCODER -EVA98309800</t>
  </si>
  <si>
    <t>SE.005.001811.08.AM</t>
  </si>
  <si>
    <t>SE.007.000233.05.87</t>
  </si>
  <si>
    <t>ENCODER BOARD (ETC 810) (5907515701)</t>
  </si>
  <si>
    <t>SM.015.004214.19.6P</t>
  </si>
  <si>
    <t>SE.005.001813.08.AM</t>
  </si>
  <si>
    <t>MAGNETIC PROXIMITY SENSOR (70000568)</t>
  </si>
  <si>
    <t>SE.005.001818.00.00</t>
  </si>
  <si>
    <t>PHOTOCELL SP2/LP-1E (SP2/LP-1E0</t>
  </si>
  <si>
    <r>
      <rPr>
        <color rgb="FF1155CC"/>
        <u/>
      </rPr>
      <t>https://drive.google.com/open?id=17IGxrfYvwpdr7G1xvY07ZGVEKp2QfCiH</t>
    </r>
    <r>
      <rPr/>
      <t xml:space="preserve">
</t>
    </r>
    <r>
      <rPr>
        <color rgb="FF1155CC"/>
        <u/>
      </rPr>
      <t>https://drive.google.com/open?id=116IIVTnogseZ4RblTUdcDC5zkkkYOFBC</t>
    </r>
  </si>
  <si>
    <t>SE.005.001819.00.00</t>
  </si>
  <si>
    <t>PHOTOCELL SP2/LN-1E (SP2/LN-1E)</t>
  </si>
  <si>
    <t>SE.005.001846.09.E7</t>
  </si>
  <si>
    <t>PROXIMITY SENSOR TL W3MB1 V06149560</t>
  </si>
  <si>
    <t>SE.005.001868.14.5R</t>
  </si>
  <si>
    <t>SENSOR SPEED 3E7886</t>
  </si>
  <si>
    <t>SE.005.001869.03.69</t>
  </si>
  <si>
    <t>SE.007.000238.03.78</t>
  </si>
  <si>
    <t>FLAME DETECTOR QRA73.A17</t>
  </si>
  <si>
    <t>SE.005.001871.07.AA</t>
  </si>
  <si>
    <t>THERMOSTAT (CCT+0010641)</t>
  </si>
  <si>
    <t>SE.005.001872.05.1R</t>
  </si>
  <si>
    <t>DETECTOR ( 6416712)</t>
  </si>
  <si>
    <t>SE.006.000183.00.00</t>
  </si>
  <si>
    <t>CHANGEOVER SWITCH 1600A</t>
  </si>
  <si>
    <t>https://drive.google.com/open?id=1VQBeUB_UVegAzckj-INDBFCrKiDTsKq6
https://drive.google.com/open?id=1Zd0BfsZ0RlTfEdd6CmKn5mFPeJ4P3TDF</t>
  </si>
  <si>
    <t>SE.006.000669.08.AM</t>
  </si>
  <si>
    <t>PHOTOELECTRIC SWITCH E3JK - R2R3 (90003372)</t>
  </si>
  <si>
    <t>SE.006.000671.00.00</t>
  </si>
  <si>
    <t>REED SWITCH (SMC) (D-A53C)</t>
  </si>
  <si>
    <t>SE.007.000232.05.87</t>
  </si>
  <si>
    <t>SE.006.000675.00.00</t>
  </si>
  <si>
    <t>PIZZATO ELETTRICA LIMIT SWITCH (FD 2084)</t>
  </si>
  <si>
    <t>SE.006.000680.03.AR</t>
  </si>
  <si>
    <t>LGK 16 CONTROL FLAME EQUIPMENT (230VAC) 1907755</t>
  </si>
  <si>
    <t>https://drive.google.com/open?id=1JvnmWd8tzrxqndH50NijQuqiJ8Sc3ar_
https://drive.google.com/open?id=1Ky1cUA9uneI6ul7X_NtXUHDpYbTzZuNo</t>
  </si>
  <si>
    <t>https://drive.google.com/open?id=1WjFc4WLb6E2b1RzEl01IL3GDM_OUOXMV
https://drive.google.com/open?id=1M9MXrcGscrsu5cLp_03L_KFUmn9J_X7u</t>
  </si>
  <si>
    <t>SE.006.000717.05.86</t>
  </si>
  <si>
    <t>PUSH BUTTON PAN (PH16485904)</t>
  </si>
  <si>
    <t>SE.007.000072.07.3I</t>
  </si>
  <si>
    <t>CARD-DACAA0198-BT796/651</t>
  </si>
  <si>
    <t>CARD-SMC.085.04.913</t>
  </si>
  <si>
    <t>SM.015.001835.19.6P</t>
  </si>
  <si>
    <t>CARD-SMC.085.05.903</t>
  </si>
  <si>
    <t>CARD-SMC.085.05.914</t>
  </si>
  <si>
    <t>SE.007.000191.05.87</t>
  </si>
  <si>
    <t>CARD-SMC.085.06.904 SMC.085.06.909</t>
  </si>
  <si>
    <t>SE.007.000423.05.00</t>
  </si>
  <si>
    <t>CARD-SMC.085.08.922</t>
  </si>
  <si>
    <t>CARD-SMC.085.10.975-SMC.085.15.934</t>
  </si>
  <si>
    <t>CARD-SMC.085.17.907</t>
  </si>
  <si>
    <t>https://drive.google.com/open?id=1DSSI0M2FRz36HUF5XLv27vZr1wCowEFG
https://drive.google.com/open?id=1PGM_rBfC3kVzh1O0m3_AVjQ8q60T9WFh</t>
  </si>
  <si>
    <t>https://drive.google.com/open?id=1PS9yG_5MZowt-c2rPv1JTVP18sy4O-60
https://drive.google.com/open?id=1JeEpSZ2jWGQ8FVKSNdZirLAxUsHmJ188</t>
  </si>
  <si>
    <t>CARD-SMC.085.17.920</t>
  </si>
  <si>
    <t>CARD-SMC.086.01.940</t>
  </si>
  <si>
    <t>SE.007.000246.03.69</t>
  </si>
  <si>
    <t>CHECK 6415474 LAL2.25</t>
  </si>
  <si>
    <t>SM.015.001718.19.6P</t>
  </si>
  <si>
    <t>https://drive.google.com/open?id=1GXYs3M5uZFbrOSGXUplju32Ppb9jPDCi
https://drive.google.com/open?id=1kVg-q-YqhzQyFoE_6BhT145rInXlRlqR</t>
  </si>
  <si>
    <t>https://drive.google.com/open?id=129FRZXtZuB843Na9mqIrb7D22oN3lebG
https://drive.google.com/open?id=1uQJLP32U9yMTq3RLMO5M2_P_BLN4aRp4</t>
  </si>
  <si>
    <t>SM.015.004714.19.6P</t>
  </si>
  <si>
    <t>https://drive.google.com/open?id=1z3c-bYSHPb7WPVLtUJZS1ECtuv8FSlL2
https://drive.google.com/open?id=1blXU7LMDCIWzohvgKcV2RB4ao0oDCxPK</t>
  </si>
  <si>
    <t>https://drive.google.com/open?id=1ntr8hxELHuV114pjYypsTviIW6aBnu3T
https://drive.google.com/open?id=1yQK6zhYyTywVbPNZnl6Npj0sGvUxcXL-</t>
  </si>
  <si>
    <r>
      <rPr>
        <color rgb="FF1155CC"/>
        <u/>
      </rPr>
      <t>https://drive.google.com/open?id=1mXi_yljazfa4lbd41MLBRyE-5hqh6mcf</t>
    </r>
    <r>
      <rPr/>
      <t xml:space="preserve">
</t>
    </r>
    <r>
      <rPr>
        <color rgb="FF1155CC"/>
        <u/>
      </rPr>
      <t>https://drive.google.com/open?id=12dTmnggV-Pa3phQyvVZxDmfiybJin3nZ
https://drive.google.com/open?id=1fqifiv_k9KEc4IxwRuwCa8wwX2UgzQwf</t>
    </r>
  </si>
  <si>
    <t>SM.015.004687.19.6P</t>
  </si>
  <si>
    <t>https://drive.google.com/open?id=116yg7DsDIV4rgQ358TMqKEI48Xkz4_5D
https://drive.google.com/open?id=1jb3NLL7tZNam1mZcXgw6eaGV0CWnJrnN</t>
  </si>
  <si>
    <t>https://drive.google.com/open?id=1vpnUAPDydY1Yb6lp84hKR2q9s2zBF_9F
https://drive.google.com/open?id=1lvMU-f_nRzgPT-oc3B9RQ3WUahCpe5Kg</t>
  </si>
  <si>
    <t>SM.015.004738.19.6P</t>
  </si>
  <si>
    <t>https://drive.google.com/open?id=1k74BERniqn0jEDHsROQVlJ5kTdaSVtJA
https://drive.google.com/open?id=1Pxyz99wwCYCXffS9PH_J_A1TwBUNlWU2</t>
  </si>
  <si>
    <t>SM.015.004689.19.6P</t>
  </si>
  <si>
    <t>https://drive.google.com/open?id=1sW97F4CnQl3Y9ivxavj84cHL8BNygYGN
https://drive.google.com/open?id=14KnRYs4FNcrSrshRrdMWyN-1Ym1bhnLH</t>
  </si>
  <si>
    <t>SE.007.000259.05.86</t>
  </si>
  <si>
    <t>CPU W/EPROM SMC.086.01.931-SMC.086.01.940</t>
  </si>
  <si>
    <t>SM.015.004711.19.6P</t>
  </si>
  <si>
    <t>SE.007.000270.05.99</t>
  </si>
  <si>
    <t>DISPLAY SMC.085.11.928 65A 4</t>
  </si>
  <si>
    <t>CARD"OR" SMC08504950-P2 20.1.6</t>
  </si>
  <si>
    <t>SE.007.000445.00.00</t>
  </si>
  <si>
    <t>UNICOM - DACAB0078 68000</t>
  </si>
  <si>
    <t>SE.007.000457.00.00</t>
  </si>
  <si>
    <t>ELEMENT AX100-296 9999960030</t>
  </si>
  <si>
    <t>https://drive.google.com/open?id=1Y8u0LHETFfIvJfLWzALgofggqLPlHxjY
https://drive.google.com/open?id=18LgoJylrJt-BAiXHnYv468icULSv-joG</t>
  </si>
  <si>
    <t>SE.007.000458.06.9B</t>
  </si>
  <si>
    <t>ELECTRONIC CARD HPC 3HV (PK-XAARHPC3)</t>
  </si>
  <si>
    <t>https://drive.google.com/open?id=1e9NS0ZIuy2ut5Q-M4nGctV01zL_TTsKx
https://drive.google.com/open?id=1JmNfDPJst_6vB_Wi_OnuvyQv2OWmlz1r</t>
  </si>
  <si>
    <t>SE.007.000460.08.AU</t>
  </si>
  <si>
    <t>SM.015.004739.19.6P</t>
  </si>
  <si>
    <t>PLC CPU 24V CX 2030-0123 1001 (60000436)</t>
  </si>
  <si>
    <t>SE.007.000461.08.AU</t>
  </si>
  <si>
    <r>
      <rPr>
        <color rgb="FF1155CC"/>
        <u/>
      </rPr>
      <t>https://drive.google.com/open?id=1zrdV1B3-MWkXHWtbx5ad70n9FyaSXN5s</t>
    </r>
    <r>
      <rPr/>
      <t xml:space="preserve">
</t>
    </r>
    <r>
      <rPr>
        <color rgb="FF1155CC"/>
        <u/>
      </rPr>
      <t>https://drive.google.com/open?id=1YvCMoQTADHfuB0dSiY0gAvhFdDBqDaQZ
https://drive.google.com/open?id=1HPYbUwqFPS3aro0FLaB6v3OEaVMe8WFy</t>
    </r>
  </si>
  <si>
    <t>PLC POWER SUPPLY UNIT 45W 24V CX 21100-0904 (60000002)</t>
  </si>
  <si>
    <t>SE.007.000761.08.4F</t>
  </si>
  <si>
    <t>CARD-(30101001A)</t>
  </si>
  <si>
    <t>SE.007.000762.08.4F</t>
  </si>
  <si>
    <t>CARD-(6010863)</t>
  </si>
  <si>
    <t>https://drive.google.com/open?id=1UDqE64VVI1nQbotVxWxoCOu4S-FJLicP</t>
  </si>
  <si>
    <t>SE.007.000768.05.97</t>
  </si>
  <si>
    <t>PUSH BUTTON PAN-(EVA17085917)</t>
  </si>
  <si>
    <t>SE.007.000803.09.3K</t>
  </si>
  <si>
    <t>KEYBOARD-(3842OM0010)</t>
  </si>
  <si>
    <t>SE.007.000818.08.4F</t>
  </si>
  <si>
    <t>https://drive.google.com/open?id=1hi_uRFHpb0FLeBKOmZqN55dqUjfuYjwe
https://drive.google.com/open?id=1IWixJydDRmO4VT2SGS-Q1vIYLKR-xr1P</t>
  </si>
  <si>
    <t>CARD-(3010903)</t>
  </si>
  <si>
    <t>SE.007.000827.05.86</t>
  </si>
  <si>
    <t>CARD-(SMC08504926)</t>
  </si>
  <si>
    <t>SM.015.001800.19.6P</t>
  </si>
  <si>
    <t>SE.007.000829.05.86</t>
  </si>
  <si>
    <t>CARD-(SMC08501964)</t>
  </si>
  <si>
    <t>SE.007.000843.08.4J</t>
  </si>
  <si>
    <t>SE.008.000128.02.00</t>
  </si>
  <si>
    <t>TOUCH SCREEN FOR COPILOT-(5701000146)</t>
  </si>
  <si>
    <t>SE.007.000845.08.4F</t>
  </si>
  <si>
    <t>POWER SUPPLY PA208</t>
  </si>
  <si>
    <t>SE.007.000848.08.4J</t>
  </si>
  <si>
    <t>CO-PILOT DISPLAY-(1903310320)</t>
  </si>
  <si>
    <t>SE.007.000850.05.86</t>
  </si>
  <si>
    <t>CARD-(SMC08502950)</t>
  </si>
  <si>
    <t>SE.007.000853.05.86</t>
  </si>
  <si>
    <r>
      <rPr>
        <color rgb="FF1155CC"/>
        <u/>
      </rPr>
      <t>https://drive.google.com/open?id=1whvGAyaF5HNUtUHpbVrAD-_7JO2gFi_K</t>
    </r>
    <r>
      <rPr/>
      <t xml:space="preserve">
</t>
    </r>
    <r>
      <rPr>
        <color rgb="FF1155CC"/>
        <u/>
      </rPr>
      <t>https://drive.google.com/open?id=1ynjkVjs7TB0nFNgtWvlv-T0we3fepSDU
https://drive.google.com/open?id=1dAhYpKmoCydfJWLAqw7ZhN6ubH2ezJAq</t>
    </r>
  </si>
  <si>
    <t>CARD-(SMC08601931)</t>
  </si>
  <si>
    <t>SE.007.000870.06.2N</t>
  </si>
  <si>
    <t>PROGRAMMED ROTOCOLOR-(1002962100)</t>
  </si>
  <si>
    <t>SE.007.000871.08.4J</t>
  </si>
  <si>
    <t>KEY BOARD WITH DISPLAY ? VTM804</t>
  </si>
  <si>
    <t>SE.008.000115.05.AT</t>
  </si>
  <si>
    <t>SE.007.000872.08.4J</t>
  </si>
  <si>
    <r>
      <rPr>
        <color rgb="FF1155CC"/>
        <u/>
      </rPr>
      <t>https://drive.google.com/open?id=1bwfbJ52v8vH3z_BYqUbcLoLFglSX6pOn</t>
    </r>
    <r>
      <rPr/>
      <t xml:space="preserve">
</t>
    </r>
    <r>
      <rPr>
        <color rgb="FF1155CC"/>
        <u/>
      </rPr>
      <t>https://drive.google.com/open?id=1C_YI3DvN1RoFxVAgaagNTgVwDOK-VCJU
https://drive.google.com/open?id=1lIztom4pX4S5oCP9PcKlS7y2wIdpNENx</t>
    </r>
  </si>
  <si>
    <t>DUAL CONTROL CARD +8IN+4OUT-(5527573701)</t>
  </si>
  <si>
    <t>SE.007.000885.08.5I</t>
  </si>
  <si>
    <t>DICO 708 CPU CARD REV.2007 (5904514821)</t>
  </si>
  <si>
    <t>SE.007.000890.07.AA</t>
  </si>
  <si>
    <t>CARD-(CCT+0001014)</t>
  </si>
  <si>
    <t>SE.007.000919.06.1Z</t>
  </si>
  <si>
    <t>CARD DACS 2000-(PJKF00128)</t>
  </si>
  <si>
    <t>SE.007.000922.06.1Z</t>
  </si>
  <si>
    <t>COMPLETE OPERATION CONTROL PANEL-(PJKF00221/B)</t>
  </si>
  <si>
    <t>https://drive.google.com/open?id=1L3efnytc4CPlEAR3aV1XxV_H7KRbtuEC
https://drive.google.com/open?id=1aOpFEI_-lm6tbhUrYcVZnTefjx4x8DP3</t>
  </si>
  <si>
    <t>SE.007.000937.09.AM</t>
  </si>
  <si>
    <t>SM.015.004688.19.6P</t>
  </si>
  <si>
    <t>CARD-(5906515401)</t>
  </si>
  <si>
    <t>SE.007.000940.00.00</t>
  </si>
  <si>
    <t>CONTROLLER (39817655)- MM 75</t>
  </si>
  <si>
    <t>SE.009.000796.05.AP</t>
  </si>
  <si>
    <t>SE.007.000943.03.AR</t>
  </si>
  <si>
    <t>BURNER CONTROL LGK16333A27</t>
  </si>
  <si>
    <t>SE.007.000951.05.AT</t>
  </si>
  <si>
    <t>BURNER CONTROL UNIT / LGK 16.622A17 -(06415259)</t>
  </si>
  <si>
    <t>https://drive.google.com/open?id=14KuNNNWy0ONnyDGkjUS2opVlfiXIidKe
https://drive.google.com/open?id=1FNVB8U8ed86X-LbVU3MO_Yogn-0VdR6l</t>
  </si>
  <si>
    <r>
      <rPr>
        <color rgb="FF1155CC"/>
        <u/>
      </rPr>
      <t>https://drive.google.com/open?id=1WIctCtwbcJ_WzgdVDnO3ggsyv-vKzd-U</t>
    </r>
    <r>
      <rPr/>
      <t xml:space="preserve">
</t>
    </r>
    <r>
      <rPr>
        <color rgb="FF1155CC"/>
        <u/>
      </rPr>
      <t>https://drive.google.com/open?id=1eDCcAH9AsrmqidszMYSfzCBJa38Q8odl</t>
    </r>
    <r>
      <rPr/>
      <t xml:space="preserve">
</t>
    </r>
    <r>
      <rPr>
        <color rgb="FF1155CC"/>
        <u/>
      </rPr>
      <t>https://drive.google.com/open?id=1xSRXxlrPZN0IyK0ajYvzy0d-dUlXHUD2</t>
    </r>
  </si>
  <si>
    <t>SE.007.000958.02.AK</t>
  </si>
  <si>
    <t>PLC 4961132</t>
  </si>
  <si>
    <t>SE.007.000959.02.AK</t>
  </si>
  <si>
    <t>MODULE 4961188</t>
  </si>
  <si>
    <t>SE.007.000960.02.AK</t>
  </si>
  <si>
    <t>MODULE 4961189</t>
  </si>
  <si>
    <t>SE.008.000129.02.00</t>
  </si>
  <si>
    <t>SE.007.000961.02.AK</t>
  </si>
  <si>
    <t>FEEDER 4920603</t>
  </si>
  <si>
    <t>SM.015.004756.19.6P</t>
  </si>
  <si>
    <t>SE.007.000963.02.AK</t>
  </si>
  <si>
    <t>INTERFACE PERSONAL C SMC08538913 (SMC08539924)</t>
  </si>
  <si>
    <t>SE.007.000964.02.AK</t>
  </si>
  <si>
    <t>SOFTWARE QMB10085947</t>
  </si>
  <si>
    <t>SE.007.000966.02.AK</t>
  </si>
  <si>
    <t>DISPLAY 4567183 (4567197)</t>
  </si>
  <si>
    <t>SE.007.000972.05.AP</t>
  </si>
  <si>
    <t>https://drive.google.com/open?id=1Rm3gfAXVUH4T9zL-yQzuftkUWSJ-PZG1
https://drive.google.com/open?id=1ExZyrC05m0E0rI3wYjA-NYayKQkMRGmS</t>
  </si>
  <si>
    <t>MODULE-(PH32086928)</t>
  </si>
  <si>
    <t>SE.007.000973.05.AP</t>
  </si>
  <si>
    <t>CARD-(PH10085903)</t>
  </si>
  <si>
    <t xml:space="preserve">
https://drive.google.com/open?id=1qDaXxa2KEK1klbXFBbcFyrdeYPUU6zGU</t>
  </si>
  <si>
    <t>SE.007.000975.05.AP</t>
  </si>
  <si>
    <t>PC UNIT-(SMC08536970)</t>
  </si>
  <si>
    <t>SE.008.000125.05.AP</t>
  </si>
  <si>
    <t>SE.007.001020.09.5I</t>
  </si>
  <si>
    <t>USB 2.0 CARD-(5906511502)</t>
  </si>
  <si>
    <t>SE.007.001026.00.00</t>
  </si>
  <si>
    <t>ELECTRONIC CAM PROGRAMMER - (LMV51.100C1)</t>
  </si>
  <si>
    <t>SM.015.004707.19.6P</t>
  </si>
  <si>
    <t>SE.007.001032.12.13</t>
  </si>
  <si>
    <t>COMPLETE MOULD 110X55MM - (STC55110/3)</t>
  </si>
  <si>
    <t>SE.007.001052.05.86</t>
  </si>
  <si>
    <t>CARD SMC08515919 (SMC08515929)</t>
  </si>
  <si>
    <r>
      <rPr>
        <color rgb="FF1155CC"/>
        <u/>
      </rPr>
      <t>https://drive.google.com/open?id=1icyXj-W1I3nRexNdDWJqgCLa09mnN_CN</t>
    </r>
    <r>
      <rPr/>
      <t xml:space="preserve">
</t>
    </r>
    <r>
      <rPr>
        <color rgb="FF1155CC"/>
        <u/>
      </rPr>
      <t>https://drive.google.com/open?id=1pw1qsKqjblFv2t5E75rf72-vz52wEe1Y
https://drive.google.com/open?id=1mDbyWOKx3aHFhMSXOW3MdkYXGp_qbdK5</t>
    </r>
  </si>
  <si>
    <t>SE.007.001054.05.98</t>
  </si>
  <si>
    <t>CARD SMC08508963</t>
  </si>
  <si>
    <t>SE.007.001055.06.2N</t>
  </si>
  <si>
    <t>CONSOLE BOARD (C1002963103)</t>
  </si>
  <si>
    <t>SE.007.001101.06.1T</t>
  </si>
  <si>
    <t>INTERFACE CARD-(SPDACAA1042)</t>
  </si>
  <si>
    <t>SE.008.000127.05.AP</t>
  </si>
  <si>
    <t>SE.007.001102.06.1T</t>
  </si>
  <si>
    <t>PROGRAMMED KEYBOARD BTK-(SPDACAF0360/R)</t>
  </si>
  <si>
    <r>
      <rPr>
        <color rgb="FF1155CC"/>
        <u/>
      </rPr>
      <t>https://drive.google.com/open?id=1rc4Kd8cdsZbK3mStJDmYn4IW9vWNJxvr</t>
    </r>
    <r>
      <rPr/>
      <t xml:space="preserve">
</t>
    </r>
    <r>
      <rPr>
        <color rgb="FF1155CC"/>
        <u/>
      </rPr>
      <t>https://drive.google.com/open?id=1Fb8ou6R81UziQkD-trkfoWKKVd1vANVF</t>
    </r>
    <r>
      <rPr/>
      <t xml:space="preserve">
</t>
    </r>
    <r>
      <rPr>
        <color rgb="FF1155CC"/>
        <u/>
      </rPr>
      <t>https://drive.google.com/open?id=11nOV-97bRQVnBFJbdjFKBWUNUoeUcJBu</t>
    </r>
    <r>
      <rPr/>
      <t xml:space="preserve">
</t>
    </r>
    <r>
      <rPr>
        <color rgb="FF1155CC"/>
        <u/>
      </rPr>
      <t>https://drive.google.com/open?id=1L3qhZglm2QqZtvaKVr9p6kgkjvD89Dfb</t>
    </r>
  </si>
  <si>
    <t>SE.007.001103.08.AM</t>
  </si>
  <si>
    <r>
      <rPr>
        <color rgb="FF1155CC"/>
        <u/>
      </rPr>
      <t>https://drive.google.com/open?id=1uxGXkaqp3k3e1BtiX_dg_AwiGo6cAwVg</t>
    </r>
    <r>
      <rPr/>
      <t xml:space="preserve">
</t>
    </r>
    <r>
      <rPr>
        <color rgb="FF1155CC"/>
        <u/>
      </rPr>
      <t>https://drive.google.com/open?id=1mUR5S3wvwjiBvSa48ktCky7qvJXMacuq</t>
    </r>
    <r>
      <rPr/>
      <t xml:space="preserve">
</t>
    </r>
    <r>
      <rPr>
        <color rgb="FF1155CC"/>
        <u/>
      </rPr>
      <t>https://drive.google.com/open?id=1IqecZRL4fEnnO9CKgROnXoLQVndcWTS6</t>
    </r>
  </si>
  <si>
    <t>TERMINAL DICO 208-(1902102002)</t>
  </si>
  <si>
    <t>SE.007.001114.06.1T</t>
  </si>
  <si>
    <t>CPU WITH PROGRAM (SPDACAA0979/R)</t>
  </si>
  <si>
    <t>SM.015.003603.19.6O</t>
  </si>
  <si>
    <t>SE.007.001116.06.1T</t>
  </si>
  <si>
    <t>CARD 16 INPUT (SPDACAA0897)</t>
  </si>
  <si>
    <t>SE.008.000130.02.02</t>
  </si>
  <si>
    <t>SE.007.001117.06.1T</t>
  </si>
  <si>
    <t>CARD (SPDACAA0896)</t>
  </si>
  <si>
    <t>SE.007.001120.06.1T</t>
  </si>
  <si>
    <t>INTERFACE CARD (SPDACAA1041)</t>
  </si>
  <si>
    <r>
      <rPr>
        <color rgb="FF1155CC"/>
        <u/>
      </rPr>
      <t>https://drive.google.com/open?id=1gUjBANZx4lGF-POnBqbYXhdm6XtRAeSe</t>
    </r>
    <r>
      <rPr/>
      <t xml:space="preserve">
</t>
    </r>
    <r>
      <rPr>
        <color rgb="FF1155CC"/>
        <u/>
      </rPr>
      <t>https://drive.google.com/open?id=1AzcuGzaDQNLdHbH-v75IU6luwSPc114t
https://drive.google.com/open?id=1Dw4-YKa_jnoQnZ9NR8v-3FHM9dZmnbdy</t>
    </r>
  </si>
  <si>
    <t>SE.007.001121.05.DC</t>
  </si>
  <si>
    <t>HMD 01-1NW0036-A-07-NNN (1050370095)</t>
  </si>
  <si>
    <r>
      <rPr/>
      <t xml:space="preserve">
</t>
    </r>
    <r>
      <rPr>
        <color rgb="FF1155CC"/>
        <u/>
      </rPr>
      <t>https://drive.google.com/open?id=1ylwfZSDtz1neq5RVKuk82VV1P7VXJCsK</t>
    </r>
    <r>
      <rPr/>
      <t xml:space="preserve">
</t>
    </r>
    <r>
      <rPr>
        <color rgb="FF1155CC"/>
        <u/>
      </rPr>
      <t>https://drive.google.com/open?id=1vjUy8pu6aflfYSO6UODPluEBZBR23wUV</t>
    </r>
  </si>
  <si>
    <t>SE.007.001122.05.DC</t>
  </si>
  <si>
    <t>HMD 01-1NW0018-A-07-NNN (1050800666)</t>
  </si>
  <si>
    <t>SE.007.001134.09.4Y</t>
  </si>
  <si>
    <t>HMI WITH RELEVANT OS AND APPLICATION SOFTWARE (HMI G3U)</t>
  </si>
  <si>
    <t>SE.008.000131.02.02</t>
  </si>
  <si>
    <t>SE.007.001135.09.4Y</t>
  </si>
  <si>
    <t>WEINVIEW HMI WITH OS AND RELEVANT APPLICATION SOFTWARE(TK6071 IP)</t>
  </si>
  <si>
    <t>SM.015.002292.19.6Q</t>
  </si>
  <si>
    <t>SE.007.001137.06.2F</t>
  </si>
  <si>
    <t>CONTROL TERMINAL MT8051IP 4,3? 480X272 PROGRAMMED</t>
  </si>
  <si>
    <t>SE.007.001139.02.00</t>
  </si>
  <si>
    <t>HMI UNIT (4961313)</t>
  </si>
  <si>
    <r>
      <rPr>
        <color rgb="FF1155CC"/>
        <u/>
      </rPr>
      <t>https://drive.google.com/open?id=1owyqCXDYZXQZYQ9N_731MzZfljcCSoBh</t>
    </r>
    <r>
      <rPr/>
      <t xml:space="preserve">
</t>
    </r>
    <r>
      <rPr>
        <color rgb="FF1155CC"/>
        <u/>
      </rPr>
      <t>https://drive.google.com/open?id=1rHJ2iDszFtRRVhlqE24jCCteUFSepHOB
https://drive.google.com/open?id=1DqAiEuP00S-j8Zxqo0-pZN-UbFghIeZf</t>
    </r>
  </si>
  <si>
    <t>SE.007.001141.00.00</t>
  </si>
  <si>
    <t>ANALOG INPUT MODULE (CJ1W - AD041 - V1 SL)</t>
  </si>
  <si>
    <t>SE.007.001142.00.00</t>
  </si>
  <si>
    <t>ANALOG OUTPUT MODULE (CJ1W - DA41 SL)</t>
  </si>
  <si>
    <t>SE.007.001144.02.02</t>
  </si>
  <si>
    <t>EMBEDDED PC BOX WITH PROGRAM ARK1122</t>
  </si>
  <si>
    <r>
      <rPr>
        <color rgb="FF1155CC"/>
        <u/>
      </rPr>
      <t>https://drive.google.com/open?id=1YBwvGmpXwwnJWFBGGoSE5ncRZwgich-I</t>
    </r>
    <r>
      <rPr/>
      <t xml:space="preserve">
</t>
    </r>
    <r>
      <rPr>
        <color rgb="FF1155CC"/>
        <u/>
      </rPr>
      <t>https://drive.google.com/open?id=1wC9hsd9xeG-Lb-Vb6NG7zMVDucMzpqwr</t>
    </r>
    <r>
      <rPr/>
      <t xml:space="preserve">
</t>
    </r>
    <r>
      <rPr>
        <color rgb="FF1155CC"/>
        <u/>
      </rPr>
      <t>https://drive.google.com/open?id=19POqfm-pdF42O9cf_NclSvJvT5blDgqq</t>
    </r>
  </si>
  <si>
    <t>SE.007.001145.06.2C</t>
  </si>
  <si>
    <t>DISPLAY (MITOS VT6 REMOTE KEYPAD SOFTWARE 5.3) (05.20.224)</t>
  </si>
  <si>
    <t>SE.008.000132.06.2C</t>
  </si>
  <si>
    <t>SE.007.001146.08.AM</t>
  </si>
  <si>
    <t>PROGRAMMED COPILOT SET 2E000881 (EX. CODE 1903300122)</t>
  </si>
  <si>
    <t>SE.007.001149.09.4Y</t>
  </si>
  <si>
    <t>SM.015.002291.19.6Q</t>
  </si>
  <si>
    <t>HMI DISPLAY (ESDA-50X20-B)</t>
  </si>
  <si>
    <r>
      <rPr>
        <color rgb="FF1155CC"/>
        <u/>
      </rPr>
      <t>https://drive.google.com/open?id=10CDWSOtGCxPKSnPXno9gnOnMJ1fNaMYO</t>
    </r>
    <r>
      <rPr/>
      <t xml:space="preserve">
</t>
    </r>
    <r>
      <rPr>
        <color rgb="FF1155CC"/>
        <u/>
      </rPr>
      <t>https://drive.google.com/open?id=1yQ8EwL49VoGGr6Tn5XV7tEdMYNXiJv_d
https://drive.google.com/open?id=1gLS-invQezLDkvbzTzBlnb1M2gdd-LC4</t>
    </r>
  </si>
  <si>
    <t>SE.007.001151.07.AA</t>
  </si>
  <si>
    <t>PLC POWER SUPPLY UNIT CJ1W-PA205R</t>
  </si>
  <si>
    <t>SE.007.001152.06.2F</t>
  </si>
  <si>
    <t>TOUCH 4.3" MOD. MT8052IP PROGRAMMED</t>
  </si>
  <si>
    <t>SE.007.001157.06.9B</t>
  </si>
  <si>
    <t>INK RECIRCULATION CONTROL INK BOX (UBIBRECIRTIN)</t>
  </si>
  <si>
    <t>SE.007.001157.08.5I</t>
  </si>
  <si>
    <t>RED LINE ACQUISITION UNIT (3320510025)</t>
  </si>
  <si>
    <t>SE.008.000136.07.AA</t>
  </si>
  <si>
    <t>SE.007.001158.05.AP</t>
  </si>
  <si>
    <t>CONTROL BOARD FOR PERMANENT MAGNETISM (AS110N490032)</t>
  </si>
  <si>
    <t>SE.007.001163.05.00</t>
  </si>
  <si>
    <t>DISPLAY FOR CALIPER (MC235.01/T001/CX4/220VAC)</t>
  </si>
  <si>
    <t>SE.007.006036.02.46</t>
  </si>
  <si>
    <t>OMRON PLC COMMUNICATION MODULE (CJ1W SCU31/41 V1)</t>
  </si>
  <si>
    <r>
      <rPr>
        <color rgb="FF1155CC"/>
        <u/>
      </rPr>
      <t>https://drive.google.com/open?id=1E3rPj4BIDNA42Dz3aN91dInchq_6KsR1</t>
    </r>
    <r>
      <rPr/>
      <t xml:space="preserve">
</t>
    </r>
    <r>
      <rPr>
        <color rgb="FF1155CC"/>
        <u/>
      </rPr>
      <t>https://drive.google.com/open?id=1YGxLdXC1Rtt8iZKe0O6P3b19IHEabZMK</t>
    </r>
    <r>
      <rPr/>
      <t xml:space="preserve">
</t>
    </r>
    <r>
      <rPr>
        <color rgb="FF1155CC"/>
        <u/>
      </rPr>
      <t>https://drive.google.com/open?id=1WTuxh9Adgc9llAOSqB-6cykUB_qeWnNz</t>
    </r>
  </si>
  <si>
    <t>SE.007.006040.07.BH</t>
  </si>
  <si>
    <r>
      <rPr>
        <color rgb="FF1155CC"/>
        <u/>
      </rPr>
      <t>https://drive.google.com/open?id=1reD6VPWx69qbi9W1q1xtFbX7C3Dlrgdj</t>
    </r>
    <r>
      <rPr/>
      <t xml:space="preserve">
</t>
    </r>
    <r>
      <rPr>
        <color rgb="FF1155CC"/>
        <u/>
      </rPr>
      <t>https://drive.google.com/open?id=1VbnqhZCW22wskLrJ5dy9sUOI19khINLt
https://drive.google.com/open?id=1LaCsmwXus6Ig_sXhKDqwF60G_GunlqRl</t>
    </r>
  </si>
  <si>
    <t>CONVERTER RS232-2XRS485 (AA9-HW/C1-33-GD) (CCT+0002285)</t>
  </si>
  <si>
    <t>SE.007.006106.14.5R</t>
  </si>
  <si>
    <t>WOODWARD 2301A SPEED CONTROL 9907-014</t>
  </si>
  <si>
    <t>SM.015.004701.19.6P</t>
  </si>
  <si>
    <t>SE.007.006110.02.47</t>
  </si>
  <si>
    <t>FEEDER (PTC02713910)</t>
  </si>
  <si>
    <t>SE.008.000137.07.AA</t>
  </si>
  <si>
    <t>SE.008.000023.08.4J</t>
  </si>
  <si>
    <t>BRUSHLESS DRIVE 6800002276</t>
  </si>
  <si>
    <t>SE.008.000033.08.4J</t>
  </si>
  <si>
    <t>BRUSHLESS DRIVE 6800002275</t>
  </si>
  <si>
    <t>SE.008.000051.06.2N</t>
  </si>
  <si>
    <t>DRIVE FOR BRUSHLESS MOTOR-(6800000793)</t>
  </si>
  <si>
    <r>
      <rPr>
        <color rgb="FF1155CC"/>
        <u/>
      </rPr>
      <t>https://drive.google.com/open?id=1AYYt7oYqMRGqBL6Sa8TdGH-GCAjRqPGl</t>
    </r>
    <r>
      <rPr/>
      <t xml:space="preserve">
</t>
    </r>
    <r>
      <rPr>
        <color rgb="FF1155CC"/>
        <u/>
      </rPr>
      <t>https://drive.google.com/open?id=1_kVN-gIg0RCIxI4e5hJF___xQl2X23M1
https://drive.google.com/open?id=1G7FeKqs7MellMRKippv3ug5yA2fT1am9</t>
    </r>
  </si>
  <si>
    <t>SE.008.000055.09.00</t>
  </si>
  <si>
    <t>INVERTER-(ATV312HD11N4)</t>
  </si>
  <si>
    <r>
      <rPr>
        <color rgb="FF1155CC"/>
        <u/>
      </rPr>
      <t>https://drive.google.com/open?id=1KlN4zVv7EicY3JeEfzNv9z2kMmOwfH3a
https://drive.google.com/open?id=1Qy2N_XCxOjpfWhiQ5F02JNFQ1AOAh7S6</t>
    </r>
    <r>
      <rPr/>
      <t xml:space="preserve">
</t>
    </r>
    <r>
      <rPr>
        <color rgb="FF1155CC"/>
        <u/>
      </rPr>
      <t>https://drive.google.com/open?id=1evCmeHn0wf2g4MhxQwtOUVad8fvdTAF1</t>
    </r>
  </si>
  <si>
    <t>SE.008.000062.00.00</t>
  </si>
  <si>
    <t>INVERTER-(E10400.0053)</t>
  </si>
  <si>
    <t>SE.008.000083.09.AU</t>
  </si>
  <si>
    <t>SE.008.000147.00.00</t>
  </si>
  <si>
    <t>DRIVE 18A-(6800001464)</t>
  </si>
  <si>
    <t>SE.008.000084.09.AU</t>
  </si>
  <si>
    <t>SM.015.004710.19.6P</t>
  </si>
  <si>
    <t>MICROSTEP MOTOR DRIVER-(1902503001)</t>
  </si>
  <si>
    <t>SE.008.000098.09.AE</t>
  </si>
  <si>
    <r>
      <rPr>
        <color rgb="FF1155CC"/>
        <u/>
      </rPr>
      <t>https://drive.google.com/open?id=1PsRJOfXGGEPhzYRt5gVWuaAGtQaYeb-1</t>
    </r>
    <r>
      <rPr/>
      <t xml:space="preserve">
</t>
    </r>
    <r>
      <rPr>
        <color rgb="FF1155CC"/>
        <u/>
      </rPr>
      <t>https://drive.google.com/open?id=1lKn0rdcEQIfJLdwGBTvkswXASeC5LCA3
https://drive.google.com/open?id=1vSlGC0jz9UsSW2YfQ-A7tOJRrXZz7NgU</t>
    </r>
  </si>
  <si>
    <t>BELT MOTOR DRIVE (IS620PT0171)</t>
  </si>
  <si>
    <r>
      <rPr>
        <color rgb="FF1155CC"/>
        <u/>
      </rPr>
      <t>https://drive.google.com/open?id=1QlUNSNaHmFEZlz_NsLFJIjfVCRB0z7GB</t>
    </r>
    <r>
      <rPr/>
      <t xml:space="preserve">
</t>
    </r>
    <r>
      <rPr>
        <color rgb="FF1155CC"/>
        <u/>
      </rPr>
      <t>https://drive.google.com/open?id=1JHIaCZ-unlE7zdzbQMpvJCJma18qM2g3</t>
    </r>
    <r>
      <rPr/>
      <t xml:space="preserve">
</t>
    </r>
    <r>
      <rPr>
        <color rgb="FF1155CC"/>
        <u/>
      </rPr>
      <t>https://drive.google.com/open?id=1pboQaj3uBu_gC9nEA2ShNvmdM3OEY9It</t>
    </r>
  </si>
  <si>
    <t>SE.008.000148.00.00</t>
  </si>
  <si>
    <t>INVERTER (EVA98386947)</t>
  </si>
  <si>
    <t>INVERTER (DCL17586930)</t>
  </si>
  <si>
    <t>SM.015.003786.19.6Q</t>
  </si>
  <si>
    <t>INVERTER (DCL17586936)</t>
  </si>
  <si>
    <r>
      <rPr>
        <color rgb="FF1155CC"/>
        <u/>
      </rPr>
      <t>https://drive.google.com/open?id=1u6Sw54SeBCIlJErvHxeJ9MCweZ_y4yIh</t>
    </r>
    <r>
      <rPr/>
      <t xml:space="preserve">
</t>
    </r>
    <r>
      <rPr>
        <color rgb="FF1155CC"/>
        <u/>
      </rPr>
      <t>https://drive.google.com/open?id=1syCkE2NBuS3Rs7fUWiNV_mEOVK3l1t8F
https://drive.google.com/open?id=1Ctt5vAlPU66EwlmPs-2bNzzACOYBdYo_</t>
    </r>
  </si>
  <si>
    <t>INVERTER (4062848)</t>
  </si>
  <si>
    <t>INVERTER (4062504)</t>
  </si>
  <si>
    <t>INVERTER D700 (0.75KW) MITSUBISHI</t>
  </si>
  <si>
    <t>INVERTER E700 (0.75KW) MITSUBISHI</t>
  </si>
  <si>
    <t>TOSHIBA INVERTER VSF15 1.5KW 400-500VAC (05.25.318)</t>
  </si>
  <si>
    <r>
      <rPr>
        <color rgb="FF1155CC"/>
        <u/>
      </rPr>
      <t>https://drive.google.com/open?id=1JWtLaQtPGlGCIkKGfnyQKRodvB1nEOnN</t>
    </r>
    <r>
      <rPr/>
      <t xml:space="preserve">
</t>
    </r>
    <r>
      <rPr>
        <color rgb="FF1155CC"/>
        <u/>
      </rPr>
      <t>https://drive.google.com/open?id=1u1cEeDe9tUv8GxyoyMHoAvPGlNhrinWv
https://drive.google.com/open?id=1GIYDgoit-fXg9vqpdZXw20vTi1b9cFVQ</t>
    </r>
  </si>
  <si>
    <t>SE.008.000135.09.4Y</t>
  </si>
  <si>
    <t>SERVO DRIVE WITH SIGNAL CABLE ESDB-030AE, DID-14C-040</t>
  </si>
  <si>
    <r>
      <rPr>
        <color rgb="FF1155CC"/>
        <u/>
      </rPr>
      <t>https://drive.google.com/open?id=1RgVR2qluFp4UNGhN_71fozkISr6TgfkS</t>
    </r>
    <r>
      <rPr/>
      <t xml:space="preserve">
</t>
    </r>
    <r>
      <rPr>
        <color rgb="FF1155CC"/>
        <u/>
      </rPr>
      <t>https://drive.google.com/open?id=1UCbycgQc3gbjpThrWVpW6UCek1zoZZvz
https://drive.google.com/open?id=1_bTfL-qRCMiwpVRTPlrugXX2ZtnmjBq2</t>
    </r>
  </si>
  <si>
    <t>INVERTER ( YASAKAWA) CIMR-VC2A0006BAA</t>
  </si>
  <si>
    <t>INVERTER (YASAKAWA) CIMR-VC4A0005BAA</t>
  </si>
  <si>
    <t>SE.008.000145.09.AW</t>
  </si>
  <si>
    <t>SERVO DRIVE IS620PT012I</t>
  </si>
  <si>
    <t>V1000 CIMR-VC2A0004BAA (YASKAWA )</t>
  </si>
  <si>
    <t>V1000 CIMR-VC2A0010BAA INVERTER YASKAWA</t>
  </si>
  <si>
    <t>SE.009.000111.00.00</t>
  </si>
  <si>
    <t>CABLE TRAY 31 A1C200Z340342</t>
  </si>
  <si>
    <t>M</t>
  </si>
  <si>
    <t>SE.009.000125.00.00</t>
  </si>
  <si>
    <t>CABLE TRAY-70X40MM</t>
  </si>
  <si>
    <t>SE.009.000198.00.00</t>
  </si>
  <si>
    <t>CABLE-4CORE 4X10SQMM</t>
  </si>
  <si>
    <t>SE.009.000274.05.86</t>
  </si>
  <si>
    <t>CABLE-SMC.085.63.905</t>
  </si>
  <si>
    <t>SM.002.000050.14.5R</t>
  </si>
  <si>
    <t>SE.009.000640.00.00</t>
  </si>
  <si>
    <r>
      <rPr>
        <color rgb="FF1155CC"/>
        <u/>
      </rPr>
      <t>https://drive.google.com/open?id=10PQQUmiTMRvrbTteIVmBGminZ7PMkGud</t>
    </r>
    <r>
      <rPr/>
      <t xml:space="preserve">
</t>
    </r>
    <r>
      <rPr>
        <color rgb="FF1155CC"/>
        <u/>
      </rPr>
      <t>https://drive.google.com/open?id=1EPZ22vfAgKBp4AgaJNpzaesvHsiEhHT8
https://drive.google.com/open?id=1Ab1v-i0d3gFY2qmcN4nivW_cip4EP6h3</t>
    </r>
  </si>
  <si>
    <t>FLEXIBLE CABLE [ 1X70MM ]</t>
  </si>
  <si>
    <t>SE.009.000716.00.00</t>
  </si>
  <si>
    <t>SWITCH GEAR CABLE 35MM</t>
  </si>
  <si>
    <t>SE.009.000770.00.00</t>
  </si>
  <si>
    <t>SCREEN CABLE 10 X 1.5MM</t>
  </si>
  <si>
    <t>CONDITIONER (4209171)</t>
  </si>
  <si>
    <t>SE.009.000859.00.00</t>
  </si>
  <si>
    <t>CABLE FLEXIBLE 1 CORE ? 95SQMM</t>
  </si>
  <si>
    <t>SE.009.000866.05.89</t>
  </si>
  <si>
    <t>https://drive.google.com/open?id=18yrlfTY84S3iL0TAzO_XbEP1SZSeM-yp
https://drive.google.com/open?id=1hGsgUWkdOa5SoyDSed6jIoTXY_cRj4V5</t>
  </si>
  <si>
    <t>CABLE XJ 55 - (PH75087917)</t>
  </si>
  <si>
    <t>SE.009.000901.00.00</t>
  </si>
  <si>
    <t>CABLE TRAY WITH LID 200X75</t>
  </si>
  <si>
    <r>
      <rPr>
        <color rgb="FF1155CC"/>
        <u/>
      </rPr>
      <t>https://drive.google.com/open?id=1q6WiBpueW3LLmVXop6l9qyQTEuPsH4aG</t>
    </r>
    <r>
      <rPr/>
      <t xml:space="preserve">
</t>
    </r>
    <r>
      <rPr>
        <color rgb="FF1155CC"/>
        <u/>
      </rPr>
      <t>https://drive.google.com/open?id=10tf7tdfqByZzcCHONc734LhkKxCqZ5wY
https://drive.google.com/open?id=183owCExx5JlbwgT_2gpanT0f02dscOiW</t>
    </r>
  </si>
  <si>
    <t>SE.009.000902.00.00</t>
  </si>
  <si>
    <t>CABLE TRAY WITH LID 300X75</t>
  </si>
  <si>
    <t>SM.010.002648.14.5P</t>
  </si>
  <si>
    <t>SE.009.000912.07.BH</t>
  </si>
  <si>
    <t>SERVO REGULATOR - FMS-230/100.8-(CC25120066)</t>
  </si>
  <si>
    <t>SE.009.000979.05.AP</t>
  </si>
  <si>
    <t>CABLE (PH32087925)</t>
  </si>
  <si>
    <t>SE.009.001135.05.86</t>
  </si>
  <si>
    <t>BOX (PH16481902)</t>
  </si>
  <si>
    <t>https://drive.google.com/open?id=1m1mwgv_9v9vetV6GxdNw6FZiHyM0YIcC
https://drive.google.com/open?id=1lcFtAMH8m9tq-A2IepO5V3Rcv7j0vCdS</t>
  </si>
  <si>
    <r>
      <rPr>
        <color rgb="FF1155CC"/>
        <u/>
      </rPr>
      <t>https://drive.google.com/open?id=18RfhYXNpHhS9cx766RcVZj3ZZF8sUeXS</t>
    </r>
    <r>
      <rPr/>
      <t xml:space="preserve">
</t>
    </r>
    <r>
      <rPr>
        <color rgb="FF1155CC"/>
        <u/>
      </rPr>
      <t>https://drive.google.com/open?id=1Oc_cz6KsjWBQoyzwxYrZZ0GnOHl_r-JR
https://drive.google.com/open?id=1v-uMfa4AiFCE3mwF5hCoZwKSZhFrY3mL</t>
    </r>
  </si>
  <si>
    <t>SE.009.001136.05.86</t>
  </si>
  <si>
    <t>BOX (PH16487996)</t>
  </si>
  <si>
    <t>SE.009.001173.00.00</t>
  </si>
  <si>
    <t>INDUSTRIAL SOCKET (GEWISS GW 66 219 N)</t>
  </si>
  <si>
    <t>SE.009.001174.00.00</t>
  </si>
  <si>
    <t>INDUSTRIAL SOCKET (GEWISS GW 68 208N)</t>
  </si>
  <si>
    <t>SM.010.002548.14.5P</t>
  </si>
  <si>
    <t>SE.009.001198.00.00</t>
  </si>
  <si>
    <t>COPPER STRIP 25MM*3MM</t>
  </si>
  <si>
    <t>SE.009.001240.05.86</t>
  </si>
  <si>
    <t>CABLE (SMC08562942)</t>
  </si>
  <si>
    <t>SE.009.001246.02.AK</t>
  </si>
  <si>
    <t>HARDWARE KEY (4962408)</t>
  </si>
  <si>
    <r>
      <rPr>
        <color rgb="FF1155CC"/>
        <u/>
      </rPr>
      <t>https://drive.google.com/open?id=1JVt_SKTEufztU3zVbV6yX1ZfO-G_I5DM</t>
    </r>
    <r>
      <rPr/>
      <t xml:space="preserve">
</t>
    </r>
    <r>
      <rPr>
        <color rgb="FF1155CC"/>
        <u/>
      </rPr>
      <t>https://drive.google.com/open?id=1kvEboGJIt507XZ6Z0vu8hFjVG__iEo1_
https://drive.google.com/open?id=1EixD6PHXauIbRTEN5XrZIYberjJ0FmfI</t>
    </r>
  </si>
  <si>
    <t>SE.009.001252.00.00</t>
  </si>
  <si>
    <t>SCREEN CABLE 4X35 mm2 CU/XLPE/SWA/PVC 1000V</t>
  </si>
  <si>
    <t>SE.009.001257.00.00</t>
  </si>
  <si>
    <t>CABLE 10X1.5 mm2 CU/XLPE/PVC 1000V</t>
  </si>
  <si>
    <t>https://drive.google.com/open?id=1npQgBI8fwPHPdNjWNoj2nk0dJc7eEM6I
https://drive.google.com/open?id=1Dnhx-JHEPNCYAKNCD4W6kncRKyphQP4P</t>
  </si>
  <si>
    <t>SE.009.001259.00.00</t>
  </si>
  <si>
    <t>CABLE 5X1.5 mm2 CU/XLPE/PVC 1000V</t>
  </si>
  <si>
    <t>SE.009.001260.00.00</t>
  </si>
  <si>
    <t>CABLE 4X1.5 mm2 CU/XLPE/PVC 1000V</t>
  </si>
  <si>
    <t>SE.009.001262.00.00</t>
  </si>
  <si>
    <t>SCREEN CABLE 3X1.5 mm2 CU/XLPE/SCR/PVC 500V</t>
  </si>
  <si>
    <t>SM.010.000403.14.5P</t>
  </si>
  <si>
    <t>SE.009.001265.00.00</t>
  </si>
  <si>
    <t>SCREEN CABLE 2X1 mm2 CU/PVC/SCR/PVC 500V</t>
  </si>
  <si>
    <t>SE.010.000169.07.3G</t>
  </si>
  <si>
    <t>REGULATOR-AUTO</t>
  </si>
  <si>
    <t>https://drive.google.com/open?id=19k6NCzCcx1peeKK6tfjNm1cOJHjS2qOt
https://drive.google.com/open?id=1oTfRZDtNLiNY602xYLLdUyOXqFlpVVyY</t>
  </si>
  <si>
    <t>SE.010.000334.00.00</t>
  </si>
  <si>
    <t>Capacitor [25Kvar / 400V]</t>
  </si>
  <si>
    <t>SE.010.000392.03.AR</t>
  </si>
  <si>
    <r>
      <rPr>
        <color rgb="FF1155CC"/>
        <u/>
      </rPr>
      <t>https://drive.google.com/open?id=143e9cq2Q1woCploxvWzha4YfccLWE7_q</t>
    </r>
    <r>
      <rPr/>
      <t xml:space="preserve">
</t>
    </r>
    <r>
      <rPr>
        <color rgb="FF1155CC"/>
        <u/>
      </rPr>
      <t>https://drive.google.com/open?id=1cK13uccs4PlaocHIfdC3jArkfPU0Oxa1</t>
    </r>
  </si>
  <si>
    <t>POTENTIOMETER-(3013532)</t>
  </si>
  <si>
    <t>SE.010.000404.06.9B</t>
  </si>
  <si>
    <t>PRINTHEAD, XAAR, 1003, GS12C-(45168058)</t>
  </si>
  <si>
    <t>https://drive.google.com/open?id=1bBwg8bQWhvPOlLbFREoVsh0-B_9bFb0T
https://drive.google.com/open?id=1IaolV00shy3ybeLmCV0-pl2jF4khRZ4o</t>
  </si>
  <si>
    <t>SE.010.000427.02.47</t>
  </si>
  <si>
    <t>TEMPERATURE CON. MTD30086989</t>
  </si>
  <si>
    <t>SM.010.002545.14.5P</t>
  </si>
  <si>
    <t>SE.010.002532.07.3Z</t>
  </si>
  <si>
    <t>REGULATOR CC25120074</t>
  </si>
  <si>
    <t>SE.010.002543.08.AM</t>
  </si>
  <si>
    <t>EXTERNAL BRAKING RESISTANCE 40 ohm 1000W (C6800000726)</t>
  </si>
  <si>
    <t>SE.013.000070.00.00</t>
  </si>
  <si>
    <t>UPS AC FAN 230VAC (172X150X38MM)</t>
  </si>
  <si>
    <t>https://drive.google.com/open?id=1HHotBz4L-I1UcQc2-2lhEyE40kGQeJ1f</t>
  </si>
  <si>
    <t>SE.013.000071.00.00</t>
  </si>
  <si>
    <t>COOLING FAN 106FY0194(A4D630-AR01-01)</t>
  </si>
  <si>
    <t>SE.013.000156.00.00</t>
  </si>
  <si>
    <t>FAN (NMB15038PB-B3L-EP</t>
  </si>
  <si>
    <t>SE.015.000077.19.AQ</t>
  </si>
  <si>
    <r>
      <rPr>
        <color rgb="FF1155CC"/>
        <u/>
      </rPr>
      <t>https://drive.google.com/open?id=1W9nOmt9cj-boX5m9zkkNA-Jlf6zTUbzq</t>
    </r>
    <r>
      <rPr/>
      <t xml:space="preserve">
</t>
    </r>
    <r>
      <rPr>
        <color rgb="FF1155CC"/>
        <u/>
      </rPr>
      <t>https://drive.google.com/open?id=1qXKsqgTs_ioMRTQYZUpzl0jm8z62dCQg
https://drive.google.com/open?id=1PeWCfLpAIag8P2ZdS3k5A7Oim0IPX6zm</t>
    </r>
  </si>
  <si>
    <t>SM.010.000404.14.5P</t>
  </si>
  <si>
    <t>HYSTER FORK LIFT CONTROLLER BOX</t>
  </si>
  <si>
    <t>SE.017.000083.05.97</t>
  </si>
  <si>
    <t>TRANSFORMER-HIGHTENTION-6415855</t>
  </si>
  <si>
    <t>SE.017.000146.02.AK</t>
  </si>
  <si>
    <t>FEEDER 4961069</t>
  </si>
  <si>
    <t>SE.019.000031.06.2A</t>
  </si>
  <si>
    <t>MOTOR-BRUSHLESS C.T 80100001 5/9</t>
  </si>
  <si>
    <r>
      <rPr>
        <color rgb="FF1155CC"/>
        <u/>
      </rPr>
      <t>https://drive.google.com/open?id=1uE1JpkvfzcPxLqJbYvwKUft8Z4Rl71s9</t>
    </r>
    <r>
      <rPr/>
      <t xml:space="preserve">
</t>
    </r>
    <r>
      <rPr>
        <color rgb="FF1155CC"/>
        <u/>
      </rPr>
      <t>https://drive.google.com/open?id=1W7xIwVw_PgFyniO4GZt30P8lA8YBSbtK
https://drive.google.com/open?id=15ypncd6LuEk9Rxx4wb5oFxDsH95l_Tfy</t>
    </r>
  </si>
  <si>
    <t>SE.019.000053.05.00</t>
  </si>
  <si>
    <t>SERVO MOTOR 1055/23 110V,50HZ</t>
  </si>
  <si>
    <t>SE.019.000055.08.4S</t>
  </si>
  <si>
    <t>ELECTROMAGNETIC CLUTCH ROTOR-(M3 14009A)</t>
  </si>
  <si>
    <t>SE.019.000057.08.4S</t>
  </si>
  <si>
    <t>ELECTROMAGNETIC BRAKE-(M3 14014A)</t>
  </si>
  <si>
    <t>SM.010.002649.14.5P</t>
  </si>
  <si>
    <t>SE.019.000070.03.AR</t>
  </si>
  <si>
    <t>https://drive.google.com/open?id=1KGAW0QUlogzA7hfNC9gsm2_pNwkBApuO</t>
  </si>
  <si>
    <t>SERVOMOTOR SQM 10.16502-(3000871)</t>
  </si>
  <si>
    <t>SE.019.000080.07.BH</t>
  </si>
  <si>
    <t>m A REGULATOR - FMS-250/100.8-(CC25120068)</t>
  </si>
  <si>
    <t>SE.019.000093.05.DC</t>
  </si>
  <si>
    <t>MOOTOR ASSY 3F 1.8 kW 2P B14 E48/63LS-2 (1050060670)</t>
  </si>
  <si>
    <t>https://drive.google.com/open?id=1hHeO4MFC-YjpWnsH5keQwLsEtAH0uSOo
https://drive.google.com/open?id=1Y5R88RZkEvVGVIhHuBEkkevO2cwkCXn4</t>
  </si>
  <si>
    <t>SE.019.000097.02.02</t>
  </si>
  <si>
    <t>BREAK GROUP ATDC12M-4</t>
  </si>
  <si>
    <t>SE.019.000107.05.1R</t>
  </si>
  <si>
    <t>SERVOMOTOR (6415866)</t>
  </si>
  <si>
    <t>SE.020.000126.05.86</t>
  </si>
  <si>
    <t>ROUND DIE HEATER 1000W 50V (13.3 X 630MM)</t>
  </si>
  <si>
    <t>SE.020.000225.07.AA</t>
  </si>
  <si>
    <t>REGULATOR-(CC25120075)</t>
  </si>
  <si>
    <t>SM.002.000051.14.5R</t>
  </si>
  <si>
    <r>
      <rPr>
        <color rgb="FF1155CC"/>
        <u/>
      </rPr>
      <t>https://drive.google.com/open?id=14zeX5roeGwXezBfrXCmKihrDBX1jWdth</t>
    </r>
    <r>
      <rPr/>
      <t xml:space="preserve">
</t>
    </r>
    <r>
      <rPr>
        <color rgb="FF1155CC"/>
        <u/>
      </rPr>
      <t>https://drive.google.com/open?id=1tMT5pxDvh1eUXBRrJwXYtuAhGUIvzJgl
https://drive.google.com/open?id=1Mjf3I2VajQJaG3X1Gd1PwTf-P6MsQ1ev</t>
    </r>
  </si>
  <si>
    <t>SE.020.000246.00.00</t>
  </si>
  <si>
    <t>ELECTROMAGNET FOR BADA112MB2 MOTOR</t>
  </si>
  <si>
    <t>SE.020.000256.05.86</t>
  </si>
  <si>
    <t>ROUND DIE HEATER 200W 50V (13.3X390MM)</t>
  </si>
  <si>
    <t>SE.020.000258.05.86</t>
  </si>
  <si>
    <t>ROUND DIE HEATER 400W 50V (13.3X620MM)</t>
  </si>
  <si>
    <t>SE.020.000285.07.AA</t>
  </si>
  <si>
    <t>ELECTROMAGNET BA80 380VAC 50HZ</t>
  </si>
  <si>
    <t>SE.020.000299.00.00</t>
  </si>
  <si>
    <t>HEATING ELEMENT 400V 9KW</t>
  </si>
  <si>
    <t>https://drive.google.com/open?id=1ThDGa3BT_jua6rpF0ch2T1w33Sn8MlVY
https://drive.google.com/open?id=1v5Pox-k4hdYbjaWTBkhqTQiZeUmlZQtf</t>
  </si>
  <si>
    <t>SE.020.000320.08.AM</t>
  </si>
  <si>
    <t>CABLE HOLDER CHAIN E4.21.01- LENGTH-5MTS (7823105330)</t>
  </si>
  <si>
    <r>
      <rPr>
        <color rgb="FF1155CC"/>
        <u/>
      </rPr>
      <t>https://drive.google.com/open?id=1KXtQPwZpjAVZqvPblH_JlYcH2sMbIJG6</t>
    </r>
    <r>
      <rPr/>
      <t xml:space="preserve">
</t>
    </r>
    <r>
      <rPr>
        <color rgb="FF1155CC"/>
        <u/>
      </rPr>
      <t>https://drive.google.com/open?id=1vh7nAnxO2xfy3UHTXij-9TwVGt5AcXgm</t>
    </r>
  </si>
  <si>
    <t>SE.020.000331.03.69</t>
  </si>
  <si>
    <t>SERVOMOTOR SQM48497B9 SIEMENS (20NM) - SE035/01</t>
  </si>
  <si>
    <t>SM.002.000129.14.5P</t>
  </si>
  <si>
    <t>SE.020.000342.03.69</t>
  </si>
  <si>
    <t>DYSPLAY AZL52.00B1 SIEMENS - SI011</t>
  </si>
  <si>
    <t>SM.001.000024.01.26</t>
  </si>
  <si>
    <t>BELT-(CONVEYER) 17860X400MM</t>
  </si>
  <si>
    <t>SM.001.000026.00.00</t>
  </si>
  <si>
    <t>BELT-(CONVEYER) 19260X400MM</t>
  </si>
  <si>
    <t>SM.001.000028.00.00</t>
  </si>
  <si>
    <t>BELT-(CONVEYER) 20860X500X6MM</t>
  </si>
  <si>
    <t>SM.001.000031.00.00</t>
  </si>
  <si>
    <t>BELT-(CONVEYER) 23860MMX400</t>
  </si>
  <si>
    <r>
      <rPr>
        <color rgb="FF1155CC"/>
        <u/>
      </rPr>
      <t>https://drive.google.com/open?id=1Pt6kxqrq9kU4THtVGAMXqeK1KoPkKcDi</t>
    </r>
    <r>
      <rPr/>
      <t xml:space="preserve">
</t>
    </r>
    <r>
      <rPr>
        <color rgb="FF1155CC"/>
        <u/>
      </rPr>
      <t>https://drive.google.com/open?id=12Zko9VFC_pya5f3m-wJ7bUZbpQ4Ds_Jl</t>
    </r>
    <r>
      <rPr/>
      <t>\</t>
    </r>
  </si>
  <si>
    <t>SM.001.000037.01.41</t>
  </si>
  <si>
    <t>https://drive.google.com/open?id=1eGm4LCxpyRKWU2aucGTvmBgcR-SZ09UF
https://drive.google.com/open?id=11uYcm6hwRmc35Y2V9MY4uaC4i6TydCoE</t>
  </si>
  <si>
    <t>BELT-(CONVEYER) 27600X250X13MM</t>
  </si>
  <si>
    <t>SM.001.000039.00.00</t>
  </si>
  <si>
    <t>BELT-(CONVEYER) 34260X400MM</t>
  </si>
  <si>
    <t>SM.001.000044.00.00</t>
  </si>
  <si>
    <t>BELT-(CONVEYER) 63880X400MM</t>
  </si>
  <si>
    <t>SM.010.002643.14.BA</t>
  </si>
  <si>
    <t>SM.001.000045.00.00</t>
  </si>
  <si>
    <t>BELT-(CONVEYER) 70860X400MM</t>
  </si>
  <si>
    <t>SM.001.000052.03.67</t>
  </si>
  <si>
    <t>BELT-(CONVEYER) L=13860MM W=400MM</t>
  </si>
  <si>
    <t>SM.001.000053.09.4Y</t>
  </si>
  <si>
    <t>BELT-(CONVEYER) L=14860MM W=550MM</t>
  </si>
  <si>
    <t>SM.001.000054.04.79</t>
  </si>
  <si>
    <t>BELT-(CONVEYER) L=22060MM, W=400MM</t>
  </si>
  <si>
    <t>SM.001.000072.05.89</t>
  </si>
  <si>
    <t>BELT-02048652</t>
  </si>
  <si>
    <t>https://drive.google.com/open?id=1nhHB0sNak_8fbL5rdYrdgmRkgNROaAFD
https://drive.google.com/open?id=1PE0HMDfNHwiJdJMrnluiypZ0lTkOEP13</t>
  </si>
  <si>
    <t>SM.001.000130.08.4J</t>
  </si>
  <si>
    <t>BELT-9143215000 7 23</t>
  </si>
  <si>
    <t>SM.001.000143.00.00</t>
  </si>
  <si>
    <t>BELT-B237 HC AOTAD 0081-NCAC00/10</t>
  </si>
  <si>
    <t>SM.001.000175.07.3K</t>
  </si>
  <si>
    <t>BELT-D505265156(WIDTH-25MM) 15</t>
  </si>
  <si>
    <t>SM.001.000195.09.4Z</t>
  </si>
  <si>
    <r>
      <rPr>
        <color rgb="FF1155CC"/>
        <u/>
      </rPr>
      <t>https://drive.google.com/open?id=149Woe8csoiCAfWzdpIgJq8YF_sx1wA4K</t>
    </r>
    <r>
      <rPr/>
      <t xml:space="preserve">
</t>
    </r>
    <r>
      <rPr>
        <color rgb="FF1155CC"/>
        <u/>
      </rPr>
      <t>https://drive.google.com/open?id=1AzVMJl8AmUNuZUJzRKFnSQghFQxXX7sO</t>
    </r>
  </si>
  <si>
    <t>LOWER TOOTHED BELT 6840X50MM (3000040402M)</t>
  </si>
  <si>
    <t>SM.001.000205.02.59</t>
  </si>
  <si>
    <t>BELT-RETURN ROLLER D=60MM L=552MM (C03100108)</t>
  </si>
  <si>
    <t>SM.001.000289.09.4Z</t>
  </si>
  <si>
    <t>LOWER TOOTHED BELT 6840X75MM (3040402)</t>
  </si>
  <si>
    <t>SM.001.000359.02.47</t>
  </si>
  <si>
    <t>V-BELT 5V 1800 02051038 24</t>
  </si>
  <si>
    <r>
      <rPr>
        <color rgb="FF1155CC"/>
        <u/>
      </rPr>
      <t>https://drive.google.com/open?id=1PSJWDtqtcscgW7YhHBW-u3mpwjcc_y6P</t>
    </r>
    <r>
      <rPr/>
      <t xml:space="preserve">
</t>
    </r>
    <r>
      <rPr>
        <color rgb="FF1155CC"/>
        <u/>
      </rPr>
      <t>https://drive.google.com/open?id=1vsgIo2VfpTa6t4kcSrszXnA1vN1HXX8U
https://drive.google.com/open?id=1nek7LxtrAZqptt2sBuJrA6Lp2SVB6_mX</t>
    </r>
  </si>
  <si>
    <t>SM.002.000353.14.BA</t>
  </si>
  <si>
    <t>SM.001.000362.00.00</t>
  </si>
  <si>
    <t>V-BELT 5V2120</t>
  </si>
  <si>
    <t>SM.001.000363.02.53</t>
  </si>
  <si>
    <t>V-BELT 5V2120-2051024-KIT</t>
  </si>
  <si>
    <t>SM.001.000490.00.00</t>
  </si>
  <si>
    <t>V-BELT B-362</t>
  </si>
  <si>
    <t>SM.001.000569.00.00</t>
  </si>
  <si>
    <t>V-BELT C-158</t>
  </si>
  <si>
    <t>SM.001.000592.00.00</t>
  </si>
  <si>
    <t>V-BELT C-222</t>
  </si>
  <si>
    <t>SM.001.000623.02.47</t>
  </si>
  <si>
    <t>V-BELT E441-2005023-KIT</t>
  </si>
  <si>
    <r>
      <rPr>
        <color rgb="FF1155CC"/>
        <u/>
      </rPr>
      <t>https://drive.google.com/open?id=1vfeBOOiRKLtROS0AynmGm1Pg-u3SPmON</t>
    </r>
    <r>
      <rPr/>
      <t xml:space="preserve">
</t>
    </r>
    <r>
      <rPr>
        <color rgb="FF1155CC"/>
        <u/>
      </rPr>
      <t>https://drive.google.com/open?id=148QeSsasVO8TscOcbAnCP48jFzV6D8ih
https://drive.google.com/open?id=1Bs88qjz7rA5mZaZP6zInHnht0EdnW3N7</t>
    </r>
  </si>
  <si>
    <t>SM.001.000665.07.3K</t>
  </si>
  <si>
    <t>BELT SLIDING BLOCK D455221155</t>
  </si>
  <si>
    <r>
      <rPr>
        <color rgb="FF1155CC"/>
        <u/>
      </rPr>
      <t>https://drive.google.com/open?id=1vZgfd5V65NdvqXeK3f3QJjSBfYbA0cKN</t>
    </r>
    <r>
      <rPr/>
      <t xml:space="preserve">
</t>
    </r>
    <r>
      <rPr>
        <color rgb="FF1155CC"/>
        <u/>
      </rPr>
      <t>https://drive.google.com/open?id=13GMmjzstSZwl8K_0zjMrrRBjPA_Soi_x
https://drive.google.com/open?id=1gAyZBSl2CKsgMEgcM0hkCBR7y2XS0Y1F</t>
    </r>
  </si>
  <si>
    <t>SM.001.000704.00.00</t>
  </si>
  <si>
    <t>CRESTED BELT C210 - 3121354002</t>
  </si>
  <si>
    <t>SM.001.000705.00.00</t>
  </si>
  <si>
    <t>CRESTED BELT C222</t>
  </si>
  <si>
    <t>SM.002.000357.14.5P</t>
  </si>
  <si>
    <t>SM.001.000849.09.4Y</t>
  </si>
  <si>
    <t>LOWER SYNCHRONOUS BELT 100AT20X8680+2MMAPL</t>
  </si>
  <si>
    <t>SM.001.000860.02.47</t>
  </si>
  <si>
    <t>BELT KIT-(02004047) (1 KIT=20 PCS)</t>
  </si>
  <si>
    <t>SM.001.000862.02.47</t>
  </si>
  <si>
    <t>BELT KIT-(02051037) (1 KIT + 26 PCS)</t>
  </si>
  <si>
    <t>SM.001.000879.07.AA</t>
  </si>
  <si>
    <t>BELT-(D505264065)</t>
  </si>
  <si>
    <t>SM.001.000887.00.00</t>
  </si>
  <si>
    <t>ENDLESS CONVEYOR BELT 20740MM X 1000MM</t>
  </si>
  <si>
    <r>
      <rPr>
        <color rgb="FF1155CC"/>
        <u/>
      </rPr>
      <t>https://drive.google.com/open?id=1ZEDMiEaXcWHuOaXgkDktJ5Xjbw658H9H</t>
    </r>
    <r>
      <rPr/>
      <t xml:space="preserve">
</t>
    </r>
    <r>
      <rPr>
        <color rgb="FF1155CC"/>
        <u/>
      </rPr>
      <t>https://drive.google.com/open?id=1giO1U_EfCcWMa4tbuRJcnAk8rPefqvS3
https://drive.google.com/open?id=19cxkWayatbuzJIt34B6R2rlQm2iNjVp3</t>
    </r>
  </si>
  <si>
    <t>SM.001.000892.00.00</t>
  </si>
  <si>
    <t>ENDLESS CONVEYOR BELT 42880MM X 400MM</t>
  </si>
  <si>
    <t>https://drive.google.com/open?id=15we1HRuWVdcnbOvYqXassio6FDst8Uyu
https://drive.google.com/open?id=1XEApcqS1ZE5mpkHf7mrzuNoh6ZKIvkyN</t>
  </si>
  <si>
    <t>SM.001.000913.06.9B</t>
  </si>
  <si>
    <t>FLAT BELT (CRETA COMPACT)723X10030 MM</t>
  </si>
  <si>
    <t>SM.001.000935.07.AA</t>
  </si>
  <si>
    <t>TAPE-(6102058080)</t>
  </si>
  <si>
    <t>SM.001.000940.00.00</t>
  </si>
  <si>
    <t>SM.010.000115.06.2C</t>
  </si>
  <si>
    <t>ENDLESS CONVEYOR BELT 21860 X 400MM</t>
  </si>
  <si>
    <t>SM.001.000944.08.AM</t>
  </si>
  <si>
    <t>https://drive.google.com/open?id=1TvYa2EZWEn4CApYwx0kN6fdAS5gcPrwG
https://drive.google.com/open?id=1vfIxxYjELy5qQCCccADF2ZFxRb_oKr15</t>
  </si>
  <si>
    <t>TOOTHED BELT 5V3150-(9343331502)</t>
  </si>
  <si>
    <t>SM.001.000946.08.AM</t>
  </si>
  <si>
    <r>
      <rPr>
        <color rgb="FF1155CC"/>
        <u/>
      </rPr>
      <t xml:space="preserve">https://drive.google.com/open?id=1u0SjaUssSN62sRb1mWBMS7CXi59DzVIs
</t>
    </r>
    <r>
      <rPr>
        <color rgb="FF1155CC"/>
        <u/>
      </rPr>
      <t>https://drive.google.com/open?id=1wDk9f4KVJ6aP9xnXjpFVf5DJfSK_SLso</t>
    </r>
  </si>
  <si>
    <t>BELT-(9994050000)</t>
  </si>
  <si>
    <t>SM.001.000948.08.AM</t>
  </si>
  <si>
    <t>TOOTHED BELT SV-7865 W-20 (9143981833)</t>
  </si>
  <si>
    <t>SM.001.000962.00.00</t>
  </si>
  <si>
    <t>CRESTED BELT C-158</t>
  </si>
  <si>
    <t>SM.001.000963.09.4Y</t>
  </si>
  <si>
    <t>SM.010.005067.06.2C</t>
  </si>
  <si>
    <t>FLAT BELT-(U121/4F-800X8.9X19500)</t>
  </si>
  <si>
    <t>SM.001.000972.08.4J</t>
  </si>
  <si>
    <t>BELT-(9140299906)</t>
  </si>
  <si>
    <t>https://drive.google.com/open?id=1qzzWMNtwDmiLB4frKekpMn-dPuUHH-Uf
https://drive.google.com/open?id=1_4aQDS9G5t1OPwtPy6cqbl7sJROajKk9
https://drive.google.com/open?id=1NuIsJ5zFMu3CRd7tL0OdutthAFgfWeE9</t>
  </si>
  <si>
    <t>SM.001.000998.00.00</t>
  </si>
  <si>
    <t>POLYURETHANE BELT REINFORCED CRESTED C</t>
  </si>
  <si>
    <t>SM.001.001014.09.AU</t>
  </si>
  <si>
    <t>BELT-(9994050028)</t>
  </si>
  <si>
    <r>
      <rPr>
        <color rgb="FF1155CC"/>
        <u/>
      </rPr>
      <t xml:space="preserve">https://drive.google.com/open?id=18aYTP8yg--IpuH-4RHjaXaGwl6p1ZL45
</t>
    </r>
    <r>
      <rPr>
        <color rgb="FF1155CC"/>
        <u/>
      </rPr>
      <t>https://drive.google.com/open?id=1ilOQleYDe_rsJ5L2EkhcSYNj2UDqDgYv</t>
    </r>
  </si>
  <si>
    <t>SM.001.001016.09.AU</t>
  </si>
  <si>
    <t>TOOTHED BELT-(90007866)</t>
  </si>
  <si>
    <t>SM.001.001021.09.5I</t>
  </si>
  <si>
    <t>TOOTHED BELT-(9143981820)</t>
  </si>
  <si>
    <r>
      <rPr>
        <color rgb="FF1155CC"/>
        <u/>
      </rPr>
      <t>https://drive.google.com/open?id=1FmpgU8g8gP0nmkv-GHjxplWsRyS-xmly
https://drive.google.com/open?id=1KK0cJpPsSmdUrq9wnhGhwqqMRbxJTOZph</t>
    </r>
    <r>
      <rPr/>
      <t xml:space="preserve">
</t>
    </r>
    <r>
      <rPr>
        <color rgb="FF1155CC"/>
        <u/>
      </rPr>
      <t>https://drive.google.com/open?id=1Jp1k7NZN2K8rpRvIatoyPHonpfR8EIof</t>
    </r>
  </si>
  <si>
    <t>SM.010.000112.06.2C</t>
  </si>
  <si>
    <t>SM.001.001073.08.AM</t>
  </si>
  <si>
    <t>FLAT BELT L=3370.8 (90015804)</t>
  </si>
  <si>
    <t>SM.001.001089.06.2F</t>
  </si>
  <si>
    <t>TOOTHED BELT 2100 H100 C/RIVEST-(05.33.283)</t>
  </si>
  <si>
    <t>SM.001.001090.06.2F</t>
  </si>
  <si>
    <t>TOOTHED BELT 1400 H100 -(05.33.230)</t>
  </si>
  <si>
    <t>SM.001.001108.09.4Y</t>
  </si>
  <si>
    <t>LOWER BELT (High quality brand)-(100AT20-11420+2MM APL)</t>
  </si>
  <si>
    <t>SM.001.001109.09.4Y</t>
  </si>
  <si>
    <t>UPPER BELT(High quality brand)-(75AT20-8440+6MMAPL)</t>
  </si>
  <si>
    <t>https://drive.google.com/open?id=1-xhqy3AtP8U2KkxcWw-rm8HY4pq4lrH3
https://drive.google.com/open?id=1yJY1zwdqZDx_Am0Cj8V8kKz-baQrEdSg</t>
  </si>
  <si>
    <t>SM.001.001118.07.BH</t>
  </si>
  <si>
    <t>https://drive.google.com/open?id=1fI7JF6jEKdtJKJai7V2al8YuH_rG-aSA</t>
  </si>
  <si>
    <t>BELT PM365-0480</t>
  </si>
  <si>
    <t>SM.001.001119.02.47</t>
  </si>
  <si>
    <t>BELT (2005047)</t>
  </si>
  <si>
    <t>SM.010.000262.06.2C</t>
  </si>
  <si>
    <t>SM.001.001121.00.00</t>
  </si>
  <si>
    <t>ENDLESS CONVEYOR BELT 66880X400MM 3PLY</t>
  </si>
  <si>
    <t>SM.001.001201.09.AU</t>
  </si>
  <si>
    <t>TOOTHED BELT SV=13400 T10 W=24 (90005747)</t>
  </si>
  <si>
    <t>https://drive.google.com/open?id=1WmhRjdI2U2z8Pq2Vc9AU4YekIr--th9l
https://drive.google.com/open?id=1SfdqZwpKw1hM17bmnGfk6dyFy9sB2F0t</t>
  </si>
  <si>
    <t>https://drive.google.com/open?id=10XrZLlEE7izM2qdmIcI34K-G-zw8zXvj
https://drive.google.com/open?id=1gJrEsAMfed1eAWPyb7vZnIfkB_tYoo_8</t>
  </si>
  <si>
    <t>SM.001.001224.02.02</t>
  </si>
  <si>
    <t>ENDLESS CONVEYOR BELT L=64360 W=800 3PLY</t>
  </si>
  <si>
    <t>SM.001.001225.02.02</t>
  </si>
  <si>
    <t>ENDLESS CONVEYOR BELT L=45220 W=800 3PLY</t>
  </si>
  <si>
    <t>SM.001.001226.02.02</t>
  </si>
  <si>
    <t>ENDLESS CONVEYOR BELT L=13960 W=800 3PLY</t>
  </si>
  <si>
    <t>SM.001.001227.02.02</t>
  </si>
  <si>
    <t>ENDLESS CONVEYOR BELT L=33760 W=800 3PLY</t>
  </si>
  <si>
    <t>SM.010.002414.06.00</t>
  </si>
  <si>
    <t>SM.001.001231.05.DC</t>
  </si>
  <si>
    <t>TOOTHED BELT HTD 14M-40--1040650140</t>
  </si>
  <si>
    <t>SM.001.001233.07.BH</t>
  </si>
  <si>
    <t>https://drive.google.com/open?id=1Y9__1oZX01vypD0Jxyl5LDnEQGTMqwG3
https://drive.google.com/open?id=1k5zIrTgswMtEkE6AymHq8RJTtgfXr3E8</t>
  </si>
  <si>
    <t>BELT (PM365-0480)</t>
  </si>
  <si>
    <t>SM.001.001234.07.BH</t>
  </si>
  <si>
    <t>BELT (PM361-0015)</t>
  </si>
  <si>
    <t>SM.001.001264.00.00</t>
  </si>
  <si>
    <t>BELT-POLYURETHENE 14MM</t>
  </si>
  <si>
    <r>
      <rPr>
        <color rgb="FF1155CC"/>
        <u/>
      </rPr>
      <t xml:space="preserve">https://drive.google.com/open?id=16fiufI3KGDmERMdtGjWcquXYbBipXBxF
</t>
    </r>
    <r>
      <rPr>
        <color rgb="FF1155CC"/>
        <u/>
      </rPr>
      <t>https://drive.google.com/open?id=1I7-5C75zQdOJoqI0AuPk7yp56zVsOCUD</t>
    </r>
  </si>
  <si>
    <t>SM.001.001266.05.DC</t>
  </si>
  <si>
    <t>BELT (X05420011623)</t>
  </si>
  <si>
    <t>https://drive.google.com/open?id=1U4uwoa4xrJNO9Sa_8CfwtAr58y4UUNmt
https://drive.google.com/open?id=14QzB1Abbv5CifJuQ7Zj7gbnNNkLgc6Z4</t>
  </si>
  <si>
    <t>SM.001.001268.09.4Y</t>
  </si>
  <si>
    <t>FLAT BELT (P49-76/25-1300X90X22900)</t>
  </si>
  <si>
    <t>SM.001.001273.07.BH</t>
  </si>
  <si>
    <t>SM.010.000409.06.2C</t>
  </si>
  <si>
    <t>PVC BOTTOM FABRIC MATT FINISH BLACK 02 PLY, 2.5MM FLAME RETAR BELT WITH SPLICE (90 ? POWER CURVE BELT WITHOUT HOLES)</t>
  </si>
  <si>
    <t>SM.001.001751.04.79</t>
  </si>
  <si>
    <t>Endless Conveyor belt (34360x500x8)</t>
  </si>
  <si>
    <t>SM.001.001767.00.00</t>
  </si>
  <si>
    <t>Endless conveyor belt 3 ply (37010x500x8mm)</t>
  </si>
  <si>
    <r>
      <rPr>
        <color rgb="FF1155CC"/>
        <u/>
      </rPr>
      <t>https://drive.google.com/open?id=1zlXRa7gzXWmkY59r5daKlG4iHnArwzcR</t>
    </r>
    <r>
      <rPr>
        <color rgb="FF1155CC"/>
        <u/>
      </rPr>
      <t xml:space="preserve">
</t>
    </r>
    <r>
      <rPr>
        <color rgb="FF1155CC"/>
        <u/>
      </rPr>
      <t>https://drive.google.com/open?id=1PyXVbGGCpsv6eoCduZNdrEp6TBv0Mw5n</t>
    </r>
  </si>
  <si>
    <t>SM.001.001769.00.00</t>
  </si>
  <si>
    <r>
      <rPr>
        <color rgb="FF1155CC"/>
        <u/>
      </rPr>
      <t>https://drive.google.com/open?id=1nAy3xVoeQAjGKG34TkjBdAYg0-x-WRMB</t>
    </r>
    <r>
      <rPr/>
      <t xml:space="preserve">
</t>
    </r>
    <r>
      <rPr>
        <color rgb="FF1155CC"/>
        <u/>
      </rPr>
      <t>https://drive.google.com/open?id=1Zyfv3eYmi760ciuTeBQtRMcll1tPKUxQ
https://drive.google.com/open?id=108oLPg3cOPNjYCa4MN4I9IgzKpodqF0V</t>
    </r>
  </si>
  <si>
    <t>Endless conveyor belt 3 ply (54280x400x8mm)</t>
  </si>
  <si>
    <t>SM.001.001771.00.00</t>
  </si>
  <si>
    <t>Endless conveyor belt 3 ply (19860x400x8mm)</t>
  </si>
  <si>
    <t>SM.001.001783.09.4Y</t>
  </si>
  <si>
    <t>FLAT BELT (1100X9X22900)</t>
  </si>
  <si>
    <t>SM.010.001299.06.2C</t>
  </si>
  <si>
    <t>SM.001.001785.09.4Y</t>
  </si>
  <si>
    <t>FLAT BELT P49-76/25-1100X9 L=19900 (100033721)</t>
  </si>
  <si>
    <t>SM.001.001856.09.4Y</t>
  </si>
  <si>
    <t>CONVEYOR BELT 25650X1150X9MM</t>
  </si>
  <si>
    <t>SM.001.001869.00.00</t>
  </si>
  <si>
    <t>Hydraulic Cylinders (Large for Gute) for Semi Entry Mold 600x600</t>
  </si>
  <si>
    <t>SM.001.001872.00.00</t>
  </si>
  <si>
    <t>BELT E441</t>
  </si>
  <si>
    <t>https://drive.google.com/open?id=17-e_x-heAKd_a1x1zm9hOhNNsXzlW6L4
https://drive.google.com/open?id=1cqHNiGDb23MwPMIp3vvpINB_mHfjSp1V</t>
  </si>
  <si>
    <t>SM.002.000020.05.87</t>
  </si>
  <si>
    <t>CARTRIDGE 05673966</t>
  </si>
  <si>
    <t>https://drive.google.com/open?id=1wLZ-wS02xthhGLYn3e3i7BZcfwkWamY2</t>
  </si>
  <si>
    <t>SM.002.000032.05.1M</t>
  </si>
  <si>
    <t>CARTRIDGE TEC9500702 (FILTER SYSTEM)</t>
  </si>
  <si>
    <t>ELEMENT-AIR CLEANER INNER-8N2556</t>
  </si>
  <si>
    <t>ELEMENT-AIR CLEANER OUTER-8N6309</t>
  </si>
  <si>
    <t>SM.011.000583.06.2C</t>
  </si>
  <si>
    <t>SM.002.000052.05.86</t>
  </si>
  <si>
    <t>ELEMENT-MOL12404000</t>
  </si>
  <si>
    <t>SM.002.000097.05.87</t>
  </si>
  <si>
    <t>FILTER-05673052</t>
  </si>
  <si>
    <t>FILTER-COOLANT-39911631</t>
  </si>
  <si>
    <t>https://drive.google.com/open?id=1J_QN1feEgtbnb3wTKFRi4sl1XgmYwlCb
https://drive.google.com/open?id=1yCLCq6uYY427o3yQ8PExyoHwbBklla6A</t>
  </si>
  <si>
    <t>SM.002.000162.05.85</t>
  </si>
  <si>
    <t>HYD CARTRIDGE P171583</t>
  </si>
  <si>
    <t>SM.002.000289.05.AP</t>
  </si>
  <si>
    <t>FILTER ELEMENT-(05673040 )</t>
  </si>
  <si>
    <t>SM.002.000314.05.86</t>
  </si>
  <si>
    <t>FILTER - (05671863)</t>
  </si>
  <si>
    <t>SM.002.000324.09.AU</t>
  </si>
  <si>
    <t>FILTER FOR EMPTY GENERATOR 90005433</t>
  </si>
  <si>
    <t>SM.002.000342.02.47</t>
  </si>
  <si>
    <t>FILTER (MTD12001060)</t>
  </si>
  <si>
    <t>https://drive.google.com/open?id=1_7uGITfNaSBeJDV3NGvHB_I7CGhiLMdH
https://drive.google.com/open?id=1nI9cfXU5BOv9_BWP5vcv6TtCVdyUdClS</t>
  </si>
  <si>
    <t>GA 75 Hose - (1625 5953 00)</t>
  </si>
  <si>
    <t>Valve control 3 way (39497672)</t>
  </si>
  <si>
    <t>SM.004.001006.02.47</t>
  </si>
  <si>
    <t>RING-(05051520)</t>
  </si>
  <si>
    <t>SM.004.001253.05.AP</t>
  </si>
  <si>
    <t>GASKET (5583283)</t>
  </si>
  <si>
    <t>SM.004.001255.05.AP</t>
  </si>
  <si>
    <t>KIT (5607551)</t>
  </si>
  <si>
    <t>https://drive.google.com/open?id=1SQPs-Bp1MsNDgRgfA-Lqg36d14pBtucq
https://drive.google.com/open?id=1vb_Es-uFTOHVVFtOWv6wm5YxWxyscGkC</t>
  </si>
  <si>
    <t>SM.004.001256.05.AP</t>
  </si>
  <si>
    <t>KIT (5607552)</t>
  </si>
  <si>
    <t>SM.004.001257.05.AP</t>
  </si>
  <si>
    <t>KIT (5607553)</t>
  </si>
  <si>
    <t>SM.004.001260.05.AP</t>
  </si>
  <si>
    <t>GASKET (5001738)</t>
  </si>
  <si>
    <t>SM.004.001261.05.AP</t>
  </si>
  <si>
    <t>GASKET (5001734)</t>
  </si>
  <si>
    <t>SM.004.001446.05.AP</t>
  </si>
  <si>
    <t>KIT (PH46603990)</t>
  </si>
  <si>
    <t>SM.004.002383.00.00</t>
  </si>
  <si>
    <t>SPIDER FOR 200ZW280-28 PUMP</t>
  </si>
  <si>
    <t>https://drive.google.com/open?id=1jxKmf1TCghChwok2R1pT36vrkH51-R6z
https://drive.google.com/open?id=11M8wQgaXDq6JzMTV11A59v5ghvkQwBrY</t>
  </si>
  <si>
    <t>SM.004.005106.05.AP</t>
  </si>
  <si>
    <t>GASKET (5001705)</t>
  </si>
  <si>
    <t>https://drive.google.com/open?id=11WEVZs0V_Aw4TZVBXC-qiShmj7xO2tK5
https://drive.google.com/open?id=1WGRGCiCH8l09JrGHcqFI1QX0GoBONLa7</t>
  </si>
  <si>
    <t>SM.005.000047.06.1S</t>
  </si>
  <si>
    <t>PULLEY-00022224</t>
  </si>
  <si>
    <t>SM.005.000107.08.4D</t>
  </si>
  <si>
    <t>PULLEY-1B170 IDLE 2056 (W/O BEARING)</t>
  </si>
  <si>
    <t>SM.005.000110.06.2E</t>
  </si>
  <si>
    <t>PULLEY-1C250 HOLE 35MM</t>
  </si>
  <si>
    <t>SM.013.000713.06.2B</t>
  </si>
  <si>
    <t>SM.005.000157.06.1T</t>
  </si>
  <si>
    <t>PULLEY-420880149</t>
  </si>
  <si>
    <t>SM.005.000160.06.1S</t>
  </si>
  <si>
    <t>PULLEY-440880069</t>
  </si>
  <si>
    <t>SM.005.000180.08.4J</t>
  </si>
  <si>
    <t>PULLEY-8112106904</t>
  </si>
  <si>
    <t>SM.005.000182.08.4J</t>
  </si>
  <si>
    <t>PULLEY-8112111330</t>
  </si>
  <si>
    <t>SM.005.000209.01.9T</t>
  </si>
  <si>
    <t>PULLEY-AV30 POS 5</t>
  </si>
  <si>
    <r>
      <rPr>
        <color rgb="FF1155CC"/>
        <u/>
      </rPr>
      <t xml:space="preserve">https://drive.google.com/open?id=1nX-drQS6X6M4BABcTLRlkR_x9hUK3F-Y
</t>
    </r>
    <r>
      <rPr>
        <color rgb="FF1155CC"/>
        <u/>
      </rPr>
      <t>https://drive.google.com/open?id=177TxF-1-hnOFf6z5V4wtIJOmj79SaoKY</t>
    </r>
  </si>
  <si>
    <t>SM.005.000247.07.3K</t>
  </si>
  <si>
    <t>PULLEY-D455151072 15 3</t>
  </si>
  <si>
    <r>
      <rPr>
        <color rgb="FF1155CC"/>
        <u/>
      </rPr>
      <t>https://drive.google.com/open?id=1oitB8Oaw_QyFyDaGx3SZ8cizh07aZmS2</t>
    </r>
    <r>
      <rPr/>
      <t xml:space="preserve">
</t>
    </r>
    <r>
      <rPr>
        <color rgb="FF1155CC"/>
        <u/>
      </rPr>
      <t>https://drive.google.com/open?id=1v0J8xTahjRGp47F0JSdJ2XuPr7kW30_t</t>
    </r>
  </si>
  <si>
    <t>SM.005.000249.07.3K</t>
  </si>
  <si>
    <t>PULLEY-D455151073 15 89</t>
  </si>
  <si>
    <t>SM.005.000281.06.2G</t>
  </si>
  <si>
    <t>PULLEY-FIXED 1C 230 HOLE 35MM</t>
  </si>
  <si>
    <t>SM.014.000185.06.1S</t>
  </si>
  <si>
    <t>SM.005.000316.09.4Z</t>
  </si>
  <si>
    <t>PULLEY-IDLE 1B 170 HOLE 30 M</t>
  </si>
  <si>
    <t>SM.005.000358.02.47</t>
  </si>
  <si>
    <t>PULLEY-MTD 34003053</t>
  </si>
  <si>
    <t>SM.005.000395.02.47</t>
  </si>
  <si>
    <t>PULLEY - (MTD34003048)</t>
  </si>
  <si>
    <t>SM.005.000404.05.84</t>
  </si>
  <si>
    <t>PULLEY-SP 14501038</t>
  </si>
  <si>
    <t>https://drive.google.com/open?id=1dzzWb0jlSf9jTrpF9uoByA34rOYpYuLE
https://drive.google.com/open?id=11N0vA73bN56NKYICkknmEox3xJeZszRJ</t>
  </si>
  <si>
    <t>SM.005.000449.06.2E</t>
  </si>
  <si>
    <t>PULLLEY-IDLE 1B250</t>
  </si>
  <si>
    <r>
      <rPr>
        <color rgb="FF1155CC"/>
        <u/>
      </rPr>
      <t>https://drive.google.com/open?id=1efLjQEXn7sVE6mO8N0dsEcg3R5wDhVpP</t>
    </r>
    <r>
      <rPr/>
      <t xml:space="preserve">
</t>
    </r>
    <r>
      <rPr>
        <color rgb="FF1155CC"/>
        <u/>
      </rPr>
      <t>https://drive.google.com/open?id=1Nq3h0C-5fX5kEkOEi8ura3pnIcKGwrKb
https://drive.google.com/open?id=1_ShCxWRYcEf959eZwx7H8BtXHx1CrCXQ</t>
    </r>
  </si>
  <si>
    <t>SM.005.000456.08.4S</t>
  </si>
  <si>
    <t>PULLEY COMPLETE WITH 2 BEARING PB1 0304 (90002811)</t>
  </si>
  <si>
    <t>SM.005.000463.07.BH</t>
  </si>
  <si>
    <t>PULLEY (PM161-0057)</t>
  </si>
  <si>
    <t>SM.005.000465.02.47</t>
  </si>
  <si>
    <t>SM.014.000660.06.1S</t>
  </si>
  <si>
    <t>PULLEY (MTD05003024)</t>
  </si>
  <si>
    <t>SM.005.001544.07.3K</t>
  </si>
  <si>
    <t>PULLEY-(D505151126)</t>
  </si>
  <si>
    <t>SM.005.001555.09.5I</t>
  </si>
  <si>
    <t>TOOTHED PULLEY-(8112504800)</t>
  </si>
  <si>
    <t>SM.005.001558.09.5I</t>
  </si>
  <si>
    <t>TOOTHED PULLEY-(8112506800)</t>
  </si>
  <si>
    <t>https://drive.google.com/open?id=1uqaly0BPXYr43h5rjOfcJix3dMCuSY7y
https://drive.google.com/open?id=1Oqd7Nv-E8aKUvOV8daLY1abu2DjA1An1</t>
  </si>
  <si>
    <t>SM.005.001584.08.AM</t>
  </si>
  <si>
    <t>PULLEY-(8112404203)</t>
  </si>
  <si>
    <t>https://drive.google.com/open?id=1S6XAxBvuG16iABFdaIs_t9tCYLmOldVo
https://drive.google.com/open?id=1E--fdjc6H4vHQ4Pckb7Xt7X6oaxM8Q9L</t>
  </si>
  <si>
    <t>SM.005.001592.07.3K</t>
  </si>
  <si>
    <t>PULLEY-(D45515660)</t>
  </si>
  <si>
    <t>SM.005.001603.07.AA</t>
  </si>
  <si>
    <t>PULLEY WITH BEARING-(D455151583)</t>
  </si>
  <si>
    <t>SM.005.001636.02.47</t>
  </si>
  <si>
    <t>PULLEY-(MTD34003132)</t>
  </si>
  <si>
    <t>https://drive.google.com/open?id=1zRgYyKRuV3P6VTZnGf2XgAFsF7Aw41nA
https://drive.google.com/open?id=1iTRGUPSPuwHAjke9LAtMZWPciFlaqzvq</t>
  </si>
  <si>
    <t>SM.005.001667.05.AP</t>
  </si>
  <si>
    <t>PULLEY-(ACD92208009)</t>
  </si>
  <si>
    <t>SM.005.001672.09.AU</t>
  </si>
  <si>
    <t>PULLEY-(C8112086700)</t>
  </si>
  <si>
    <t>SM.005.001673.09.AU</t>
  </si>
  <si>
    <t>https://drive.google.com/open?id=1SXTHZUHpPFLIfLoWGZd0-N3vA9FhHAzW
https://drive.google.com/open?id=1dYLdZMw_MOWUqsy4Hh8PlJt4nExinA4a</t>
  </si>
  <si>
    <t>PULLEY-(8112512900)</t>
  </si>
  <si>
    <t>SM.005.001674.09.AU</t>
  </si>
  <si>
    <t>PULLEY-(80033956)</t>
  </si>
  <si>
    <r>
      <rPr>
        <color rgb="FF1155CC"/>
        <u/>
      </rPr>
      <t>https://drive.google.com/open?id=10PLrlnGQChk9HAmQCsq9MHZT335YeUkx</t>
    </r>
    <r>
      <rPr/>
      <t xml:space="preserve">
</t>
    </r>
    <r>
      <rPr>
        <color rgb="FF1155CC"/>
        <u/>
      </rPr>
      <t>https://drive.google.com/open?id=15M45u13WoU1-bBhncA5SC5M7knb9TGbX
https://drive.google.com/open?id=1PkDSaY8BHfMPaUMMz2B2TBAZrizZLGWG</t>
    </r>
  </si>
  <si>
    <t>SM.005.001727.06.2F</t>
  </si>
  <si>
    <t>SM.005.001691.05.AT</t>
  </si>
  <si>
    <t>PULLEY-(65.01.043)</t>
  </si>
  <si>
    <t>SM.005.001726.06.2F</t>
  </si>
  <si>
    <t>PULLEY 1B 120 FISSA F.30-(05.05.014)</t>
  </si>
  <si>
    <t>PULLEY 1B 80 FOLLE + 6204 2RS-(12.05.006)</t>
  </si>
  <si>
    <t>SM.005.001734.08.AM</t>
  </si>
  <si>
    <t>PULLEY-(80061682)</t>
  </si>
  <si>
    <t>https://drive.google.com/open?id=1ZqW6y79YbmKPfNgd95IW6VaDbanseVQP
https://drive.google.com/open?id=1iuLWInlvUrXEcwsujR4Pt8PhGXxPkTSh</t>
  </si>
  <si>
    <t>SM.005.001761.07.BH</t>
  </si>
  <si>
    <t>https://drive.google.com/open?id=1fb2MY-OrkJ4lMQMhjGzsv4YC0gl3bpg8
https://drive.google.com/open?id=1TjUmxq9lnZ5_UotzRTRHVxzJpqWqd0Yf</t>
  </si>
  <si>
    <t>PULLEY (PM157-0003)</t>
  </si>
  <si>
    <t>SM.005.001763.07.BH</t>
  </si>
  <si>
    <t>PULLEY (PM157-0009)</t>
  </si>
  <si>
    <t>SM.005.001765.07.BH</t>
  </si>
  <si>
    <t>PULLEY (PM161-0062)</t>
  </si>
  <si>
    <t>SM.005.001766.07.BH</t>
  </si>
  <si>
    <t>https://drive.google.com/open?id=1M4xJ9PAaiGfcL85JECa_t4GXabga2iTI
https://drive.google.com/open?id=1BqFqUL0sX2fGE1FUmJBU0alP7ClDX_Tv</t>
  </si>
  <si>
    <t>PULLEY (PM161-0063)</t>
  </si>
  <si>
    <t>SM.005.001768.07.BH</t>
  </si>
  <si>
    <t>PULLEY (PM161-0028)</t>
  </si>
  <si>
    <t>SM.005.001769.07.BH</t>
  </si>
  <si>
    <t>PULLEY(PM161-0064)</t>
  </si>
  <si>
    <t>SM.005.001784.06.2G</t>
  </si>
  <si>
    <t>Fix Pulley 1B-250 Hole 35mm (8PU1B25035)</t>
  </si>
  <si>
    <r>
      <rPr>
        <color rgb="FF1155CC"/>
        <u/>
      </rPr>
      <t>https://drive.google.com/open?id=1tqFx_LmyciFlvkFWrAJZ9pKlISg9U-xo</t>
    </r>
    <r>
      <rPr/>
      <t xml:space="preserve">
</t>
    </r>
    <r>
      <rPr>
        <color rgb="FF1155CC"/>
        <u/>
      </rPr>
      <t>https://drive.google.com/open?id=1IobirE6Ox1ZzQGymKIMdj0fHz36P5WtO
https://drive.google.com/open?id=18wQ-Yq_QWauIqS8S9kdpMELBTFMigXbh</t>
    </r>
  </si>
  <si>
    <t>SM.005.001813.07.BH</t>
  </si>
  <si>
    <t>https://drive.google.com/open?id=1Y5w8bsYV_WjSvlRKRPnCxNnTNFR6Und5
https://drive.google.com/open?id=1Dfbi9-jnlr8aMqaDvWunZ4odMuCL1pTq</t>
  </si>
  <si>
    <t>PULLEY (PM161-0047)</t>
  </si>
  <si>
    <t>SM.005.001814.07.BH</t>
  </si>
  <si>
    <t>PULLEY (PM157-0062)</t>
  </si>
  <si>
    <t>SM.005.001815.07.BH</t>
  </si>
  <si>
    <t>PULLEY (PM157-0063)</t>
  </si>
  <si>
    <t>SM.005.001816.02.47</t>
  </si>
  <si>
    <t>PULLEY (MTD34003133)</t>
  </si>
  <si>
    <t>SM.005.001817.02.47</t>
  </si>
  <si>
    <t>PULLEY (MTD34004060)</t>
  </si>
  <si>
    <r>
      <rPr>
        <color rgb="FF1155CC"/>
        <u/>
      </rPr>
      <t>https://drive.google.com/open?id=1Y6u8ZFZT-UxDIfBDHAo3TPv8wmI_CuYe</t>
    </r>
    <r>
      <rPr/>
      <t xml:space="preserve">
</t>
    </r>
    <r>
      <rPr>
        <color rgb="FF1155CC"/>
        <u/>
      </rPr>
      <t>https://drive.google.com/open?id=1Q1xmxbNJDXO_HYPEribE12gu8Jvqc33E
https://drive.google.com/open?id=1_4_Eb5a_5UZVGczLSkq9YNP-dTXzUqVT</t>
    </r>
  </si>
  <si>
    <t>SM.005.001823.02.47</t>
  </si>
  <si>
    <t>PULLEY MTD34004044</t>
  </si>
  <si>
    <t>SM.005.001826.00.00</t>
  </si>
  <si>
    <t>PULLEY (MTD34003177)</t>
  </si>
  <si>
    <t>SM.006.000082.08.4J</t>
  </si>
  <si>
    <t>CHAIN-9990011025 29</t>
  </si>
  <si>
    <t>https://drive.google.com/open?id=1vt7xFY4TLmkGE0n63j8ciLIJI9tV9JLh
https://drive.google.com/open?id=1Mn7HScGK1qQ3M8lF02xkq66-0ZSpNkfA</t>
  </si>
  <si>
    <t>SM.006.000148.06.1S</t>
  </si>
  <si>
    <t>PINION-00022195</t>
  </si>
  <si>
    <t>SM.006.000212.09.AU</t>
  </si>
  <si>
    <t>CHAIN-(C9990011024)</t>
  </si>
  <si>
    <t>https://drive.google.com/open?id=1A4VE8x6xj3uLpmGI4PMAr3ELae9o05cO
https://drive.google.com/open?id=1j-YyKOQSNSijK5bgb9TYxQQyeXa5s4uA</t>
  </si>
  <si>
    <t>SM.006.000327.08.4J</t>
  </si>
  <si>
    <t>PINION-8114190600 17 2</t>
  </si>
  <si>
    <t>SM.006.000332.08.4J</t>
  </si>
  <si>
    <t>PINION 8114302701</t>
  </si>
  <si>
    <t>SM.006.000393.08.4B</t>
  </si>
  <si>
    <t>PINION 8114302800 23</t>
  </si>
  <si>
    <t>SM.007.000334.05.90</t>
  </si>
  <si>
    <t>SM.006.000479.07.AA</t>
  </si>
  <si>
    <t>PLUG-(D455211468)</t>
  </si>
  <si>
    <t>SM.006.000510.09.4Y</t>
  </si>
  <si>
    <t>GEAR -(TBSC-07)</t>
  </si>
  <si>
    <t>https://drive.google.com/open?id=1g8DOeVeNt85ZC91vSYmWPJGQeouE-jje</t>
  </si>
  <si>
    <t>SM.006.000844.05.AT</t>
  </si>
  <si>
    <t>PINION (EVA99304002)</t>
  </si>
  <si>
    <r>
      <rPr>
        <color rgb="FF1155CC"/>
        <u/>
      </rPr>
      <t>https://drive.google.com/open?id=17iDKT8oiP99DJ3bcAcO7otwRd3RVRYzE</t>
    </r>
    <r>
      <rPr/>
      <t xml:space="preserve">
</t>
    </r>
    <r>
      <rPr>
        <color rgb="FF1155CC"/>
        <u/>
      </rPr>
      <t>https://drive.google.com/open?id=1kTn4TcNPdq3wah0c46yIiUY7xj1qa26y</t>
    </r>
    <r>
      <rPr/>
      <t xml:space="preserve">
</t>
    </r>
    <r>
      <rPr>
        <color rgb="FF1155CC"/>
        <u/>
      </rPr>
      <t>https://drive.google.com/open?id=1kPWGSRZ9d-OpU9uXZ8PYcXPxu7SX8nZ7</t>
    </r>
  </si>
  <si>
    <t>SM.006.004628.09.AM</t>
  </si>
  <si>
    <t>SM.016.001738.06.2E</t>
  </si>
  <si>
    <t>PINION 8114191700</t>
  </si>
  <si>
    <t>SM.007.000185.00.00</t>
  </si>
  <si>
    <t>BEARING-22216</t>
  </si>
  <si>
    <t>SM.007.000533.00.00</t>
  </si>
  <si>
    <t>COUPLING 1305530-143/34</t>
  </si>
  <si>
    <t>BEARING-6002 2ZC3</t>
  </si>
  <si>
    <t>SM.007.000665.00.00</t>
  </si>
  <si>
    <t>BEARING 23122</t>
  </si>
  <si>
    <t>https://drive.google.com/open?id=1A4q_TfUAGW9xL9M_j0qOEJceRepWnrQF
https://drive.google.com/open?id=1mjMZH0iQBQ4_RlL1sCO5MGDoa-QdOgwq</t>
  </si>
  <si>
    <t>SM.007.000682.00.00</t>
  </si>
  <si>
    <t>BEARING 23220 EK/C3</t>
  </si>
  <si>
    <r>
      <rPr>
        <color rgb="FF1155CC"/>
        <u/>
      </rPr>
      <t>https://drive.google.com/open?id=165pvob3v0klkw1BfIxdU9oCePrGjYo9J</t>
    </r>
    <r>
      <rPr/>
      <t xml:space="preserve">
</t>
    </r>
    <r>
      <rPr>
        <color rgb="FF1155CC"/>
        <u/>
      </rPr>
      <t>https://drive.google.com/open?id=1l9AjirIxbP-6fxqBfngbRHkOxSP-OmpJ</t>
    </r>
    <r>
      <rPr/>
      <t xml:space="preserve">
</t>
    </r>
    <r>
      <rPr>
        <color rgb="FF1155CC"/>
        <u/>
      </rPr>
      <t>https://drive.google.com/open?id=1WrMzyCLCV_QTuGaPwaJmHNBqHVyq9VWk</t>
    </r>
  </si>
  <si>
    <t>BEARING UCPA 205</t>
  </si>
  <si>
    <t>BEARING-(UCHA204)</t>
  </si>
  <si>
    <t>BEARING NU 316 ECJ</t>
  </si>
  <si>
    <t>SM.016.004778.06.2F</t>
  </si>
  <si>
    <t>BEARING NU 230 ECJ</t>
  </si>
  <si>
    <t>SM.007.001615.00.00</t>
  </si>
  <si>
    <t>BEARING HA 203</t>
  </si>
  <si>
    <t>BEARING-(SR-000-13-0006)</t>
  </si>
  <si>
    <r>
      <rPr>
        <color rgb="FF1155CC"/>
        <u/>
      </rPr>
      <t>https://drive.google.com/open?id=1YJtc2uMN1B4-Up9cU4LET2pnF1Af3lk3</t>
    </r>
    <r>
      <rPr/>
      <t xml:space="preserve">
</t>
    </r>
    <r>
      <rPr>
        <color rgb="FF1155CC"/>
        <u/>
      </rPr>
      <t>https://drive.google.com/open?id=15g9lq23RkAMyWi7B-s2TjdTho5sNrq-f</t>
    </r>
  </si>
  <si>
    <r>
      <rPr>
        <color rgb="FF1155CC"/>
        <u/>
      </rPr>
      <t>https://drive.google.com/open?id=1ZbbW5GjHT2wlcoddJLQChgL6BLWdATjr</t>
    </r>
    <r>
      <rPr/>
      <t xml:space="preserve">
</t>
    </r>
    <r>
      <rPr>
        <color rgb="FF1155CC"/>
        <u/>
      </rPr>
      <t>https://drive.google.com/open?id=18dYmgGVKvSPUkUCLWK3MQsTZxpAXyrA9
https://drive.google.com/open?id=1JIyY0mg8-l7z4S4-0MX4m5D2efPHmCDv</t>
    </r>
  </si>
  <si>
    <t>SM.007.001754.00.00</t>
  </si>
  <si>
    <t>BEARING 6826 2RS</t>
  </si>
  <si>
    <t>BEARING NTN 23060BKD1</t>
  </si>
  <si>
    <t>SM.007.003102.00.00</t>
  </si>
  <si>
    <t>BEARING NTN 23060BD</t>
  </si>
  <si>
    <t>SM.016.000214.06.2E</t>
  </si>
  <si>
    <t>ONE WAY CLUTCH BEARING CSK30 (30x62x16 mm)</t>
  </si>
  <si>
    <t>SM.008.000015.06.2N</t>
  </si>
  <si>
    <t>CY: MOTOR-DRIVER GF61-6800000723</t>
  </si>
  <si>
    <t>SM.008.000045.08.4J</t>
  </si>
  <si>
    <t>GEAR-MOTOR-REDUCTION 9111107100 40</t>
  </si>
  <si>
    <t>SM.008.000046.08.4J</t>
  </si>
  <si>
    <t>GEAR-MOTOR-REDUCTION 9111305607-10-2</t>
  </si>
  <si>
    <t>SM.008.000094.05.85</t>
  </si>
  <si>
    <t>MOTOR 7106B35202A</t>
  </si>
  <si>
    <t>SM.008.000098.05.AP</t>
  </si>
  <si>
    <t>MOTOR-(03022024)</t>
  </si>
  <si>
    <t>https://drive.google.com/open?id=1TtZYEX-6b8t5o-qPC7YoBs_kBfAyFjJ7
https://drive.google.com/open?id=1KPFbjdlqaQ89d8Q4y4FoavUcJAuWOoGs</t>
  </si>
  <si>
    <t>SM.008.000100.05.AP</t>
  </si>
  <si>
    <t>MOTOR-(03040002)</t>
  </si>
  <si>
    <t>SM.008.000117.07.3N</t>
  </si>
  <si>
    <t>MOTOR VARIATOR-BMTAD0368-BT901/612</t>
  </si>
  <si>
    <t>SM.008.000122.09.4Y</t>
  </si>
  <si>
    <t>REDUCER (NMRV40/63-100-0.5 5-VS-VS1)</t>
  </si>
  <si>
    <t>SM.008.000176.08.4J</t>
  </si>
  <si>
    <t>MOTOR-BRUSHLESS 9110930025 20</t>
  </si>
  <si>
    <t>SM.016.006592.06.2K</t>
  </si>
  <si>
    <t>SM.008.000197.05.88</t>
  </si>
  <si>
    <t>MOTOR-GEARED 3101077 11 17</t>
  </si>
  <si>
    <t>SM.008.000265.07.3F</t>
  </si>
  <si>
    <t>R/GEAR BMTAB0146 MVQ03 1:15 BT796</t>
  </si>
  <si>
    <t>SM.008.000275.08.4J</t>
  </si>
  <si>
    <t>REDUCER-(B3) 9112131105 25</t>
  </si>
  <si>
    <t>SM.008.000291.08.4J</t>
  </si>
  <si>
    <t>REDUCER-9112111100 20</t>
  </si>
  <si>
    <t>SM.008.000308.02.47</t>
  </si>
  <si>
    <t>REDUCTION GEAR 3119652</t>
  </si>
  <si>
    <t>SM.008.000312.05.1A</t>
  </si>
  <si>
    <t>REDUCTION GEAR 03111072 11 70</t>
  </si>
  <si>
    <r>
      <rPr>
        <color rgb="FF1155CC"/>
        <u/>
      </rPr>
      <t>https://drive.google.com/open?id=1nlrYPGl69PTzHQlkdxsqII5yW8SKRziM</t>
    </r>
    <r>
      <rPr/>
      <t xml:space="preserve">
</t>
    </r>
    <r>
      <rPr>
        <color rgb="FF1155CC"/>
        <u/>
      </rPr>
      <t>https://drive.google.com/open?id=1nXRi8ouHZlH9RxuuQMdOHARDH1q8ImAl
https://drive.google.com/open?id=1vQl1tV8Ux4mRvr24P6tbBUuRArTZEXq5</t>
    </r>
  </si>
  <si>
    <t>SM.008.000331.06.1T</t>
  </si>
  <si>
    <t>REDUCTION GEAR BMTAB0233 MRV20-F1</t>
  </si>
  <si>
    <t>SM.008.000396.05.88</t>
  </si>
  <si>
    <t>VARIABLE SPEED 03135110 21 18</t>
  </si>
  <si>
    <t>SM.008.000409.05.87</t>
  </si>
  <si>
    <t>MOTOR 05605040</t>
  </si>
  <si>
    <t>SM.016.001064.06.1T</t>
  </si>
  <si>
    <t>SM.008.000450.07.BH</t>
  </si>
  <si>
    <t>GEAR REDUCER (PM489-0072)</t>
  </si>
  <si>
    <t>SM.008.000453.06.2N</t>
  </si>
  <si>
    <t>BRUSHLESS MOTOR (9110956141)</t>
  </si>
  <si>
    <t>SM.008.000458.05.DC</t>
  </si>
  <si>
    <t>SERVO-MOTOR (1050060678)</t>
  </si>
  <si>
    <t>https://drive.google.com/open?id=19Vp7tJ3_MfvwhqEyC4cxTL9B9AL_BZip
https://drive.google.com/open?id=1z-KvIfInCRjZP5z-5MPqiiYiXFnICvyZ</t>
  </si>
  <si>
    <t>SM.008.000459.05.DC</t>
  </si>
  <si>
    <t>REDUCER (1040550658)</t>
  </si>
  <si>
    <t>SM.008.000460.05.DC</t>
  </si>
  <si>
    <t>SERVO-MOTOR (1050060654)</t>
  </si>
  <si>
    <t>SM.008.000461.05.93</t>
  </si>
  <si>
    <t>VARIABLE SPEED (0102008)</t>
  </si>
  <si>
    <t>SM.008.000462.09.4Y</t>
  </si>
  <si>
    <t>REDUCER (SPFA77Y4 100-3(4)-73.8B5)</t>
  </si>
  <si>
    <t>SM.016.000225.06.1W</t>
  </si>
  <si>
    <t>SM.008.000463.09.4Y</t>
  </si>
  <si>
    <t>WORM REDUCER 0.55KW (WWJ063-10-K-S-0.55KW)</t>
  </si>
  <si>
    <t>SM.008.000466.05.91</t>
  </si>
  <si>
    <t>MOTOR (Type H192MCS/2-4)</t>
  </si>
  <si>
    <t>SM.008.001499.09.AU</t>
  </si>
  <si>
    <t>REDUCTION GEAR-(90003957)</t>
  </si>
  <si>
    <t>SM.008.001562.02.47</t>
  </si>
  <si>
    <t>REDUCTION UNIT-(3119653)</t>
  </si>
  <si>
    <t>https://drive.google.com/open?id=1YHGSbzryqKALEscGW1f4RCU3OddQoIrJ
https://drive.google.com/open?id=15h-MF1Nrd5PGQEOdlHmpO4vzn4DnbzhU</t>
  </si>
  <si>
    <t>SM.008.001566.07.3G</t>
  </si>
  <si>
    <t>MOTOR-(CC15080002)</t>
  </si>
  <si>
    <t>SM.008.001576.05.AP</t>
  </si>
  <si>
    <t>LEFT HYDRAULIC MOTOR - (SP97601911)</t>
  </si>
  <si>
    <t>SM.008.001577.05.AP</t>
  </si>
  <si>
    <t>RIGHT HYDRAULIC MOTOR - (SP97601910)</t>
  </si>
  <si>
    <t>SM.008.001580.09.5B</t>
  </si>
  <si>
    <t>REDUCER - (XWED96-391-7.5)</t>
  </si>
  <si>
    <t>SM.016.003108.06.00</t>
  </si>
  <si>
    <t>SM.008.001599.00.00</t>
  </si>
  <si>
    <t>FLANGED COAXIAL REDUCTION GEAR (TYPE SR80) 0.75KW, 15 RPM 4 POLES</t>
  </si>
  <si>
    <t>SM.008.001610.06.2C</t>
  </si>
  <si>
    <t>ELECTRIC MOTOR-(05.70.049)</t>
  </si>
  <si>
    <t>SM.008.001615.06.2F</t>
  </si>
  <si>
    <t>MOTOR TRIFASE 71C4 KW 0.55 4PB5-(05.07.197)</t>
  </si>
  <si>
    <t>SM.008.001625.03.74</t>
  </si>
  <si>
    <t>COMPLETE MOTOR VLB1200 2X 8QGRR1882 (POS 18)</t>
  </si>
  <si>
    <t>SM.008.001626.05.89</t>
  </si>
  <si>
    <t>MOTOR-(7107C351010)</t>
  </si>
  <si>
    <t>SM.008.001629.06.2F</t>
  </si>
  <si>
    <t>MOTOR REDUCER HP1 -(2MRM0521005EIE )</t>
  </si>
  <si>
    <t>https://drive.google.com/open?id=1OIuIMGpdN2qnw35AkMY-IMav4YkatGTA
https://drive.google.com/open?id=1RoivLqRnLTkz09qukK42Qhk2oBTHdrui</t>
  </si>
  <si>
    <t>SM.008.001640.06.2N</t>
  </si>
  <si>
    <t>MOTOR-(9110730003 )</t>
  </si>
  <si>
    <t>SM.008.001641.09.4Y</t>
  </si>
  <si>
    <t>REDUCER-(NMRV63-10-1.5-SZ-B3)</t>
  </si>
  <si>
    <t>SM.008.001643.09.4Y</t>
  </si>
  <si>
    <t>SERVO MOTOR-(ISMH3-44C15CD-U231Z/)</t>
  </si>
  <si>
    <t>SM.008.001645.09.4Y</t>
  </si>
  <si>
    <t>Reducer-NMRV30/30-300-0.18-BS2-T-(100064767)</t>
  </si>
  <si>
    <t>SM.016.002702.06.2F</t>
  </si>
  <si>
    <t>SM.008.001650.08.AM</t>
  </si>
  <si>
    <t>REDUCER-(C9112102101)</t>
  </si>
  <si>
    <t>SM.008.001650.09.4Y</t>
  </si>
  <si>
    <t>SERVO MOTOR-(130EMA-150CE42)</t>
  </si>
  <si>
    <t>SM.008.001651.08.AM</t>
  </si>
  <si>
    <r>
      <rPr>
        <color rgb="FF1155CC"/>
        <u/>
      </rPr>
      <t>https://drive.google.com/open?id=10IUm8-9jfymRP6AGIbDFtGQU6O2q75Ob</t>
    </r>
    <r>
      <rPr/>
      <t xml:space="preserve">
</t>
    </r>
    <r>
      <rPr>
        <color rgb="FF1155CC"/>
        <u/>
      </rPr>
      <t>https://drive.google.com/open?id=15uJrhgKz8HccFBDzfZFrSVMMw-q4KLrg
https://drive.google.com/open?id=1Yqs4SHEMpAJV57JxrlfjKQsyN3OCw0QC</t>
    </r>
  </si>
  <si>
    <t>REDUCER-(C9112131108)</t>
  </si>
  <si>
    <t>SM.008.001651.09.4Y</t>
  </si>
  <si>
    <t>REDUCER-SITI-(MU075-7.5-90B5-V5)</t>
  </si>
  <si>
    <t>SM.008.001652.06.1T</t>
  </si>
  <si>
    <t>MOTOVARIATOR TXF5 0.55KW 2P 340-2000G</t>
  </si>
  <si>
    <t>SM.010.002413.06.9B</t>
  </si>
  <si>
    <t>SM.008.001652.08.AM</t>
  </si>
  <si>
    <t>REDUCER-(C9112067102)</t>
  </si>
  <si>
    <t>SM.008.001653.06.1T</t>
  </si>
  <si>
    <t>KEB CLUTCH 06 10 670 (14/160-14/160)</t>
  </si>
  <si>
    <t>SM.008.001653.08.AM</t>
  </si>
  <si>
    <t>BRUSHLESS MOTOR -(9110930074)</t>
  </si>
  <si>
    <t>SM.008.001656.08.AM</t>
  </si>
  <si>
    <t>https://drive.google.com/open?id=1CY64_EQJsv8FUkTerINMSxWWBsLYVwLb
https://drive.google.com/open?id=1bZoyluEUYWZQfLOgM_Twt_EdmBwVRSq6</t>
  </si>
  <si>
    <t>GEARMOTOR-(9111905715)</t>
  </si>
  <si>
    <t>SM.008.001659.07.AA</t>
  </si>
  <si>
    <t>MOTOR-(CCT+0003601)</t>
  </si>
  <si>
    <t>SM.008.001665.07.AA</t>
  </si>
  <si>
    <t>MOTOR-(CC16030054)</t>
  </si>
  <si>
    <t>SM.010.002634.06.2B</t>
  </si>
  <si>
    <t>https://drive.google.com/open?id=1MZY5dMlYb6axpRSgG_pUMdWkU9fZNeME
https://drive.google.com/open?id=1CR2ernpl8zTywLK6qUQnDi3F_sNZQ3X6</t>
  </si>
  <si>
    <t>SM.016.006635.06.2B</t>
  </si>
  <si>
    <r>
      <rPr>
        <color rgb="FF1155CC"/>
        <u/>
      </rPr>
      <t>https://drive.google.com/open?id=17Z6T9-5UisX6NXODxQRZdA2q366Kl--8</t>
    </r>
    <r>
      <rPr/>
      <t xml:space="preserve">
</t>
    </r>
    <r>
      <rPr>
        <color rgb="FF1155CC"/>
        <u/>
      </rPr>
      <t>https://drive.google.com/open?id=1QKD7dBlDRn0EHnfG10YalPuWKiE-iyAj</t>
    </r>
  </si>
  <si>
    <t>SM.016.000561.06.1S</t>
  </si>
  <si>
    <r>
      <rPr>
        <color rgb="FF1155CC"/>
        <u/>
      </rPr>
      <t>https://drive.google.com/open?id=1xSf9XpiycTLhRETh60XUcjIH1U2bQ8Gr</t>
    </r>
    <r>
      <rPr/>
      <t xml:space="preserve">
</t>
    </r>
    <r>
      <rPr>
        <color rgb="FF1155CC"/>
        <u/>
      </rPr>
      <t>https://drive.google.com/open?id=1mLMPhf05llv_ieO-Zn_k8wybHxmwqQRL
https://drive.google.com/open?id=1CQ2O2Ky0rKAMmoC2d5Tpo0dD0lfYxAcb</t>
    </r>
  </si>
  <si>
    <t>SM.016.002094.06.2Z</t>
  </si>
  <si>
    <r>
      <rPr>
        <color rgb="FF1155CC"/>
        <u/>
      </rPr>
      <t>https://drive.google.com/open?id=10xu07W68xCdbXdTz4AOE9FVPLJ-6YFVb</t>
    </r>
    <r>
      <rPr/>
      <t xml:space="preserve">
</t>
    </r>
    <r>
      <rPr>
        <color rgb="FF1155CC"/>
        <u/>
      </rPr>
      <t>https://drive.google.com/open?id=1AWK9ZlDUDIxQsiTKyflgagwVitjG6EK3
https://drive.google.com/open?id=1J1Ef69TPpDwcMkYaTyBW19WNkQJU67KD</t>
    </r>
  </si>
  <si>
    <t>SM.012.003017.06.BO</t>
  </si>
  <si>
    <t>https://drive.google.com/open?id=1OOcGD_d1fw-meol_iOZ6ihswj8SoBbpT
https://drive.google.com/open?id=18J8HaaQCrUSWGFozn5CvLK7nRAmDWUkT</t>
  </si>
  <si>
    <t>SM.008.001667.07.AA</t>
  </si>
  <si>
    <t>MOTOR-(CC15070009)</t>
  </si>
  <si>
    <t>SM.012.000615.06.1S</t>
  </si>
  <si>
    <t>SM.008.001669.02.02</t>
  </si>
  <si>
    <t>ELECTRIC MOTOR (MOT.AUTOF. 4P KW4/112 B5)</t>
  </si>
  <si>
    <t>SM.008.001672.02.02</t>
  </si>
  <si>
    <t>ELECTRIC MOTOR (MOT. IE2 4P KW 2.2/100 B5)</t>
  </si>
  <si>
    <t>SM.008.001674.03.00</t>
  </si>
  <si>
    <t>Reduction gear MRC 230 1-13 -(MRIFRC230I13P90)</t>
  </si>
  <si>
    <t>SM.008.001677.03.00</t>
  </si>
  <si>
    <t>Motor 5.5 HP, 4P 50Hz ,400V -(C35100114)</t>
  </si>
  <si>
    <t>SM.008.001678.03.00</t>
  </si>
  <si>
    <t>Reduction gear MRC 240 1-13 -(C06200118)</t>
  </si>
  <si>
    <t>SM.008.001679.03.00</t>
  </si>
  <si>
    <t>Reduction gear MRC 230 1=25-(MRIFRC230I25P90)</t>
  </si>
  <si>
    <t>https://drive.google.com/open?id=1cf5pZF1xNZfVfHNuElqR4D154FJsotoF
https://drive.google.com/open?id=1Oi6Mq6-sM2I3WxPghRsogi64nBOe5zfr</t>
  </si>
  <si>
    <t>SM.008.001760.05.1A</t>
  </si>
  <si>
    <t>MOTOR 3045070</t>
  </si>
  <si>
    <t>SM.008.001761.07.3Z</t>
  </si>
  <si>
    <t>REDUCTION GEAR 7202TR2665</t>
  </si>
  <si>
    <t>SM.008.001764.00.00</t>
  </si>
  <si>
    <t>SM.014.001482.06.1T</t>
  </si>
  <si>
    <t>REDUCTION GEAR BMTAB0724 MRV60 F2</t>
  </si>
  <si>
    <t>SM.008.001767.07.00</t>
  </si>
  <si>
    <t>MOTOR - BMTAA0433 - BT796 / 651</t>
  </si>
  <si>
    <t>SM.008.001770.00.00</t>
  </si>
  <si>
    <t>MOTOVARIATOR BMTAD0370</t>
  </si>
  <si>
    <t>SM.008.001773.07.AA</t>
  </si>
  <si>
    <t>GEARMOTOR CCT+0004435</t>
  </si>
  <si>
    <t>SM.008.001780.05.98</t>
  </si>
  <si>
    <t>MOTOR-(3045018)</t>
  </si>
  <si>
    <t>SM.008.001785.00.00</t>
  </si>
  <si>
    <t>VARIABLE SPEED DRIVE 730FAAFBB5100</t>
  </si>
  <si>
    <t>https://drive.google.com/open?id=1XjdSzMxPH3Nu0h__O3iX1DgsKkNsBa3O</t>
  </si>
  <si>
    <t>SM.008.001792.06.1T</t>
  </si>
  <si>
    <t>REDUCTION GEAR -(BMTAB0719)</t>
  </si>
  <si>
    <t>SM.008.001807.07.3K</t>
  </si>
  <si>
    <t>MOTOR-(5761LA0130)</t>
  </si>
  <si>
    <t>SM.008.001808.07.3K</t>
  </si>
  <si>
    <t>REDUCTION GEAR-(7202TR3887)</t>
  </si>
  <si>
    <t>SM.010.001296.06.2C</t>
  </si>
  <si>
    <t>SM.008.001810.07.3K</t>
  </si>
  <si>
    <t>MOTOR-(5761LA0170)</t>
  </si>
  <si>
    <t>SM.008.001813.06.00</t>
  </si>
  <si>
    <t>GEARMOTOR HP1-(2MRM0521011E)</t>
  </si>
  <si>
    <t>SM.008.001817.05.98</t>
  </si>
  <si>
    <t>BURNER MOTOR L3Z-A-D</t>
  </si>
  <si>
    <t>SM.008.001829.07.AA</t>
  </si>
  <si>
    <t>MOTOR-(5751LA0160)</t>
  </si>
  <si>
    <t>SM.008.001830.07.AA</t>
  </si>
  <si>
    <t>REDUCTION GEAR-(7202TR3720)</t>
  </si>
  <si>
    <t>SM.008.001852.06.2N</t>
  </si>
  <si>
    <t>REDUCER-(9112044105)</t>
  </si>
  <si>
    <r>
      <rPr>
        <color rgb="FF1155CC"/>
        <u/>
      </rPr>
      <t>https://drive.google.com/open?id=1LgWNXlEhM-9Xoyjujrihxg_bA2Znnily</t>
    </r>
    <r>
      <rPr/>
      <t xml:space="preserve">
</t>
    </r>
    <r>
      <rPr>
        <color rgb="FF1155CC"/>
        <u/>
      </rPr>
      <t>https://drive.google.com/open?id=1BboRUrdDj3r7pUNDYCgolCLe7TRaOaw0</t>
    </r>
  </si>
  <si>
    <t>SM.008.001855.08.4J</t>
  </si>
  <si>
    <t>REDUCER-(9112058102)</t>
  </si>
  <si>
    <t>SM.008.001856.05.1A</t>
  </si>
  <si>
    <t>MOTOR-(03022002)</t>
  </si>
  <si>
    <t>SM.008.001860.05.98</t>
  </si>
  <si>
    <t>GEARED MOTOR-(03101062)</t>
  </si>
  <si>
    <t>SM.008.001862.05.98</t>
  </si>
  <si>
    <t>REDUCTION GEAR-(03115380)</t>
  </si>
  <si>
    <t>SM.016.003268.06.1Z</t>
  </si>
  <si>
    <t>SM.008.001867.09.4Y</t>
  </si>
  <si>
    <t>REDUCER-(BRV50-20-0.37B-190F-B8)</t>
  </si>
  <si>
    <t>SM.008.001870.02.47</t>
  </si>
  <si>
    <t>COUPLER-(02102196 )</t>
  </si>
  <si>
    <t>SM.008.001875.05.1T</t>
  </si>
  <si>
    <t>REDUCTION GEAR-(BMTAB0065)</t>
  </si>
  <si>
    <t>SM.008.001892.08.4S</t>
  </si>
  <si>
    <t>GEAR BOX-(M3 05006)</t>
  </si>
  <si>
    <t>https://drive.google.com/open?id=1LTbi3d8GYwQdb9QRDhyf_S7nrliAFnHP
https://drive.google.com/open?id=16NhgdbEmCzqqqEISaokRew6DrR9dDbc7</t>
  </si>
  <si>
    <t>SM.008.001917.01.41</t>
  </si>
  <si>
    <t>REDUCTION GEAR RP2C 125 ET2-(1.012)</t>
  </si>
  <si>
    <t>SM.008.001919.06.1T</t>
  </si>
  <si>
    <t>REDUCTION GEAR - BMTAB0640</t>
  </si>
  <si>
    <t>SM.008.001923.07.3Z</t>
  </si>
  <si>
    <t>MOTOR-(5751LA0121)</t>
  </si>
  <si>
    <t>SM.008.001924.07.3Z</t>
  </si>
  <si>
    <t>MOTOR-(5761MG0082)</t>
  </si>
  <si>
    <t>SM.014.000969.06.1S</t>
  </si>
  <si>
    <t>SM.008.001943.06.1Z</t>
  </si>
  <si>
    <t>BRUSHLESS MOTOR-(PJKF00001)</t>
  </si>
  <si>
    <t>SM.008.001946.08.AM</t>
  </si>
  <si>
    <t>STEP MOTOR-(8149017700)</t>
  </si>
  <si>
    <t>https://drive.google.com/open?id=1zy-nvaX3fLQ2Gb7UyCDX3NcoFPCvb1qO</t>
  </si>
  <si>
    <t>SM.008.001948.06.9B</t>
  </si>
  <si>
    <t>REDUCER MOTOR-(NEYFE71CSP040)</t>
  </si>
  <si>
    <t>SM.008.001964.01.41</t>
  </si>
  <si>
    <t>SELF BRAKING MOTOR ET2 1.09</t>
  </si>
  <si>
    <t>SM.008.001964.08.4J</t>
  </si>
  <si>
    <t>MOTOR REDUCTION GEAR-(9111307009)</t>
  </si>
  <si>
    <t>SM.008.001967.05.AP</t>
  </si>
  <si>
    <t>GEARED MOTOR-(03108064)</t>
  </si>
  <si>
    <t>SM.008.001969.05.AP</t>
  </si>
  <si>
    <t>GEARED MOTOR-(03138580)</t>
  </si>
  <si>
    <t>SM.008.001977.05.AP</t>
  </si>
  <si>
    <t>MOTOR-(03033028)</t>
  </si>
  <si>
    <t>SM.008.001979.05.AT</t>
  </si>
  <si>
    <t>https://drive.google.com/open?id=1I7hQe6s3h7eV3QhwC6D7lemIZtRLuwV7
https://drive.google.com/open?id=1-KBdlSuUTSsV4joR-uKxKc9NbpDiftmg</t>
  </si>
  <si>
    <t>REDUCTION GEAR-(03111309)</t>
  </si>
  <si>
    <t>SM.008.001980.05.AT</t>
  </si>
  <si>
    <t>REDUCTION GEAR-(03111308)</t>
  </si>
  <si>
    <t>SM.008.001981.05.AT</t>
  </si>
  <si>
    <t>MOTOR-(03045111)</t>
  </si>
  <si>
    <t>SM.008.001981.08.4J</t>
  </si>
  <si>
    <t>MOTOR REDUCER 9111303508</t>
  </si>
  <si>
    <t>SM.008.001986.09.AU</t>
  </si>
  <si>
    <t>BRUSHLESS MOTOR-(9110956098)</t>
  </si>
  <si>
    <t>SM.008.001987.09.AU</t>
  </si>
  <si>
    <r>
      <rPr>
        <color rgb="FF1155CC"/>
        <u/>
      </rPr>
      <t>https://drive.google.com/open?id=1dyw8MmZFrExLAlyyERqEYYo0Cc7IeKdG</t>
    </r>
    <r>
      <rPr/>
      <t xml:space="preserve">
</t>
    </r>
    <r>
      <rPr>
        <color rgb="FF1155CC"/>
        <u/>
      </rPr>
      <t>https://drive.google.com/open?id=1mfu7M5cX3SPjKRxdQ7kmMW3I9e03maT6</t>
    </r>
    <r>
      <rPr/>
      <t xml:space="preserve">
</t>
    </r>
    <r>
      <rPr>
        <color rgb="FF1155CC"/>
        <u/>
      </rPr>
      <t>https://drive.google.com/open?id=1a3mehpg3G5oi7h4SesLwRoQj-1pbXAl9</t>
    </r>
  </si>
  <si>
    <t>REDUCER-(90006275)</t>
  </si>
  <si>
    <t>SM.008.001995.05.AT</t>
  </si>
  <si>
    <t>MOTOR-(03045106)</t>
  </si>
  <si>
    <t>SM.008.002001.07.BH</t>
  </si>
  <si>
    <t>MOTOR (PM485-0055)</t>
  </si>
  <si>
    <t>SM.008.002006.07.BH</t>
  </si>
  <si>
    <t>GEAR REDUCER (PM489-0059)</t>
  </si>
  <si>
    <t>SM.008.002010.07.BH</t>
  </si>
  <si>
    <t>MOTOR (PM485-0009)</t>
  </si>
  <si>
    <t>SM.008.002013.07.BH</t>
  </si>
  <si>
    <t>https://drive.google.com/open?id=1wJXLPADR2xtSv0ueugly7yEBiflZu4V0
https://drive.google.com/open?id=11uqKbYB5BPoJ5ZvBdMALgJFmnRHI6vRR</t>
  </si>
  <si>
    <t>MOTOR (PM485-0003)</t>
  </si>
  <si>
    <t>SM.008.002029.05.86</t>
  </si>
  <si>
    <t>MOTOR (3010032)</t>
  </si>
  <si>
    <t>SM.008.002030.05.AP</t>
  </si>
  <si>
    <t>MOTOR (7104B25202C)</t>
  </si>
  <si>
    <t>SM.008.002031.05.AP</t>
  </si>
  <si>
    <t>GEAR BOX (700507050)</t>
  </si>
  <si>
    <t>SM.008.002032.05.AT</t>
  </si>
  <si>
    <t>MOTOR (3014002)</t>
  </si>
  <si>
    <t>SM.008.002036.02.47</t>
  </si>
  <si>
    <t>MOTOR (3022016)</t>
  </si>
  <si>
    <t>SM.008.002043.02.02</t>
  </si>
  <si>
    <t>ELECTRIC MOTOR (MOT.AUTOF. 4P KW 1.5/090 B5)</t>
  </si>
  <si>
    <t>https://drive.google.com/open?id=1Ma43bB8Rl51BDeXx_6GObfeZ2VHNbd-F</t>
  </si>
  <si>
    <t>SM.008.002044.02.02</t>
  </si>
  <si>
    <t>ELECTRIC MOTOR (MOT.AUTOF. 4P KW 3/100 B5)</t>
  </si>
  <si>
    <t>SM.008.002047.09.4Y</t>
  </si>
  <si>
    <t>MOTOR TGSG1400A.05 L</t>
  </si>
  <si>
    <t>SM.008.002049.09.4Y</t>
  </si>
  <si>
    <t>REDUCER NMRV40/50-300-0.37-VS-AS2</t>
  </si>
  <si>
    <t>SM.008.002050.09.4Y</t>
  </si>
  <si>
    <t>REDUCER NMRV40/50-300-0.37-VS-AS1-L</t>
  </si>
  <si>
    <t>SM.008.002052.09.4Y</t>
  </si>
  <si>
    <t>MOTOR IKH-FCKLAW21C-2P-5.5KW/400V/Dongzhi</t>
  </si>
  <si>
    <t>SM.008.002059.05.AT</t>
  </si>
  <si>
    <t>REDUCTION GEAR (3115354)</t>
  </si>
  <si>
    <t>SM.008.002060.08.AM</t>
  </si>
  <si>
    <t>https://drive.google.com/open?id=1venlQrOxyliTmw5NnHrYGzjvLe2qEjR3</t>
  </si>
  <si>
    <t>GEAR MOTOR (C9111100600)</t>
  </si>
  <si>
    <t>SM.008.002061.09.4Y</t>
  </si>
  <si>
    <t>MOTOR REDUCER Y2-80M2-4 , 0.75KW 1380RPM, NMRV063-15-80B5</t>
  </si>
  <si>
    <t>SM.008.002063.06.1T</t>
  </si>
  <si>
    <t>REDUCER (HR61FB2,5100B5V3)</t>
  </si>
  <si>
    <t>SM.008.002064.09.4Y</t>
  </si>
  <si>
    <t>REDUCER SPFA77-59.17B5</t>
  </si>
  <si>
    <t>SM.008.002065.09.4Y</t>
  </si>
  <si>
    <t>SERVO MOTOR BCH 1802M12A1C, 3KW</t>
  </si>
  <si>
    <t>SM.008.002068.05.AP</t>
  </si>
  <si>
    <t>REDUCTION GEAR TA35.35/DA I=1/19,5 (1040550014)</t>
  </si>
  <si>
    <t>SM.008.002069.05.AP</t>
  </si>
  <si>
    <t>REDUCTION GEAR TA35.35/D I=1/19,5 (1040550017)</t>
  </si>
  <si>
    <t>SM.008.002071.05.AP</t>
  </si>
  <si>
    <t>REDUCTION GEAR TA 40.40/DA I=1/19.7 (1040550040)</t>
  </si>
  <si>
    <r>
      <rPr>
        <color rgb="FF1155CC"/>
        <u/>
      </rPr>
      <t>https://drive.google.com/open?id=1CLg-WvhUY2510XAgWxhZhmjjb3JKb318</t>
    </r>
    <r>
      <rPr/>
      <t xml:space="preserve">
</t>
    </r>
    <r>
      <rPr>
        <color rgb="FF1155CC"/>
        <u/>
      </rPr>
      <t>https://drive.google.com/open?id=1vuVqj-MdB3QkJa27j-vS0GqTWTxInI4i</t>
    </r>
  </si>
  <si>
    <t>SM.008.002076.05.AP</t>
  </si>
  <si>
    <t>MOTOR AS. 3F 3KW 4P B5 220/380/50HZ IE3 (1050060126)</t>
  </si>
  <si>
    <t>SM.008.002078.09.4Y</t>
  </si>
  <si>
    <t>GEAR REDUCER (HKL77-Y4-36.46-2Z-W6)</t>
  </si>
  <si>
    <t>SM.008.002081.09.4Y</t>
  </si>
  <si>
    <t>MOTOR IKH-FCKLAW21-2P-4KW/400V/Toshiba (100216550)</t>
  </si>
  <si>
    <t>SM.008.003047.07.BH</t>
  </si>
  <si>
    <t>GEAR REDUCER (PM489-0334)</t>
  </si>
  <si>
    <t>SM.008.003076.03.AR</t>
  </si>
  <si>
    <t>BURNER PUMP MOTOR (20050918)</t>
  </si>
  <si>
    <r>
      <rPr>
        <color rgb="FF1155CC"/>
        <u/>
      </rPr>
      <t>https://drive.google.com/open?id=1cE16382mxD3THBuRbczBc59_CTniE3kb</t>
    </r>
    <r>
      <rPr/>
      <t xml:space="preserve">
</t>
    </r>
    <r>
      <rPr>
        <color rgb="FF1155CC"/>
        <u/>
      </rPr>
      <t>https://drive.google.com/open?id=1_k8YRwbw9o1FrBc-wgY1TeSf8RVriwyH</t>
    </r>
  </si>
  <si>
    <t>SM.008.003091.08.4J</t>
  </si>
  <si>
    <t>GEARMOTOR I=25 0.55KW (9111405604)</t>
  </si>
  <si>
    <t>SM.008.003092.08.4J</t>
  </si>
  <si>
    <t>REDUCER (C9999150101)</t>
  </si>
  <si>
    <t>SM.008.003097.02.47</t>
  </si>
  <si>
    <t>REDUCTION GEAR (3113238)</t>
  </si>
  <si>
    <t>SM.008.003101.06.2E</t>
  </si>
  <si>
    <t>ELECTRIC MOTOR (3101610000) 1.5 KW 1420 RPM</t>
  </si>
  <si>
    <t>SM.008.003108.06.2N</t>
  </si>
  <si>
    <t>GEARMOTOR (9111101402)</t>
  </si>
  <si>
    <t>SM.008.003168.09.4Y</t>
  </si>
  <si>
    <t>MOTOR YE3-160M-4-B5-11KW/400V/M12X20</t>
  </si>
  <si>
    <t>SM.008.003180.09.4Y</t>
  </si>
  <si>
    <t>MOTOR YE3-180M-4-B3-18.5KW/400V/T</t>
  </si>
  <si>
    <t>SM.008.003181.09.4Y</t>
  </si>
  <si>
    <t>L Motor TGSG1000A.05</t>
  </si>
  <si>
    <r>
      <rPr>
        <color rgb="FF1155CC"/>
        <u/>
      </rPr>
      <t>https://drive.google.com/open?id=10I74BNa0hMjI0S8uu5KvqOPYdgJDr1jF</t>
    </r>
    <r>
      <rPr/>
      <t xml:space="preserve">
</t>
    </r>
    <r>
      <rPr>
        <color rgb="FF1155CC"/>
        <u/>
      </rPr>
      <t>https://drive.google.com/open?id=1dYH-HKCUO5qzRByTrfjvzfCek9BojMQY</t>
    </r>
  </si>
  <si>
    <t>SM.008.003182.09.4Y</t>
  </si>
  <si>
    <t>GEAR REDUCER 11kw DLF09-171.55YP160M-4-M5/M6 100X140</t>
  </si>
  <si>
    <t>SM.008.003190.05.86</t>
  </si>
  <si>
    <t>MOTOR ONLY (1LE10031CA022AA)</t>
  </si>
  <si>
    <t>SM.008.003192.07.AA</t>
  </si>
  <si>
    <t>REDUCTION UNIT (CC26070004)</t>
  </si>
  <si>
    <t>SM.008.003193.04.79</t>
  </si>
  <si>
    <t>MOTORVIB. MVE300/15-4P-230/400V-50HZ 50235004</t>
  </si>
  <si>
    <t>SM.009.003002.05.AP</t>
  </si>
  <si>
    <t>KIT PH48004990</t>
  </si>
  <si>
    <t>SM.010.000024.02.58</t>
  </si>
  <si>
    <t>DIAPHRAGM-286007365</t>
  </si>
  <si>
    <t>SM.010.000029.02.55</t>
  </si>
  <si>
    <t>DIAPHRAGM-286098365</t>
  </si>
  <si>
    <t>SM.010.000045.05.88</t>
  </si>
  <si>
    <t>ELECTRIC PUMP 05603470 541 89</t>
  </si>
  <si>
    <t>SM.010.000055.02.48</t>
  </si>
  <si>
    <t>HALF UNION-MTD34001082</t>
  </si>
  <si>
    <t>SM.010.000081.03.69</t>
  </si>
  <si>
    <t>NOZZEL SPRAY (6500528) 06/20</t>
  </si>
  <si>
    <t>NOZZLE-AIRLESS 3495079 031</t>
  </si>
  <si>
    <t>NOZZLE-AIRLESS 3660120036</t>
  </si>
  <si>
    <t>SM.010.000172.08.4J</t>
  </si>
  <si>
    <t>PUMP-KIT 9663000037</t>
  </si>
  <si>
    <r>
      <rPr>
        <color rgb="FF1155CC"/>
        <u/>
      </rPr>
      <t>https://drive.google.com/open?id=1AnOcjbUM-bb3fpe3mHfWZep7exrirmjl</t>
    </r>
    <r>
      <rPr/>
      <t xml:space="preserve">
</t>
    </r>
    <r>
      <rPr>
        <color rgb="FF1155CC"/>
        <u/>
      </rPr>
      <t>https://drive.google.com/open?id=1PZQNGZZUeZ8kx6nbmbRwlJTP58IrFqPi</t>
    </r>
  </si>
  <si>
    <t>SM.010.000260.06.2C</t>
  </si>
  <si>
    <t>PREFECTA LATERAL COVER 100/35 (05.70.098)</t>
  </si>
  <si>
    <t>SAFETY PRESSURE CONTROL (05.70.010)</t>
  </si>
  <si>
    <t>Valve blowdown .50 NPT (39120472)</t>
  </si>
  <si>
    <t>Valve oil stop 1.3L SAE (39476569)</t>
  </si>
  <si>
    <t>SHAFT (05.70.115)</t>
  </si>
  <si>
    <t>SM.010.001283.05.1Q</t>
  </si>
  <si>
    <t>PIPE-6600040</t>
  </si>
  <si>
    <t>SM.010.001292.06.2C</t>
  </si>
  <si>
    <t>COVER (APR10003)</t>
  </si>
  <si>
    <t>TRANSDUCER (APR20001)</t>
  </si>
  <si>
    <t>YELLOW BALL VALVE (PR20013)</t>
  </si>
  <si>
    <t>SM.010.002360.03.62</t>
  </si>
  <si>
    <t>TUBEWELL PUMP 2'</t>
  </si>
  <si>
    <t>SM.010.002384.03.69</t>
  </si>
  <si>
    <t>FUEL PUMP TA3C</t>
  </si>
  <si>
    <t>https://drive.google.com/open?id=1e5kGsKwmnpUN0Ct9LluugQ8nxcATWyue
https://drive.google.com/open?id=1V0ewvU4aZtjwABzq0JZGF5ggUnwc2xfB</t>
  </si>
  <si>
    <t>FLODO PUMP KNF NFB60 PL008979 IP30 24V</t>
  </si>
  <si>
    <t>AIRLESS NOZZLE TC 0.023</t>
  </si>
  <si>
    <t>SM.010.002433.08.AM</t>
  </si>
  <si>
    <t>SE.007.001157.08.5i</t>
  </si>
  <si>
    <t>GUN-(9999960006)</t>
  </si>
  <si>
    <t>SM.010.002498.05.AP</t>
  </si>
  <si>
    <t>PUMP-(05603599)</t>
  </si>
  <si>
    <t>SM.010.002499.05.AP</t>
  </si>
  <si>
    <t>ELECTRIC PUMP -(05603332)</t>
  </si>
  <si>
    <t>SM.010.002513.02.55</t>
  </si>
  <si>
    <t>DIAPHRAGM OVERLAY 286098604</t>
  </si>
  <si>
    <t>SM.010.002514.05.85</t>
  </si>
  <si>
    <t>PIPE 05206426</t>
  </si>
  <si>
    <t>SM.010.002518.09.AU</t>
  </si>
  <si>
    <t>https://drive.google.com/open?id=1p9IsRIy5Xwde3Lm71KAIj8WKDApzYpCy
https://drive.google.com/open?id=1UbIz6IMKegD_7Sy3N2KC-fE3IyKd380x</t>
  </si>
  <si>
    <t>PUMP-(90000589)</t>
  </si>
  <si>
    <t>SM.010.002535.08.AM</t>
  </si>
  <si>
    <t>GUN PUMP -(9999960092)</t>
  </si>
  <si>
    <t>SM.010.002542.03.62</t>
  </si>
  <si>
    <t>PISTON - (PPB3002801)</t>
  </si>
  <si>
    <t>VALVE SOLENOID 3-WAY - (39530852)</t>
  </si>
  <si>
    <t>https://drive.google.com/open?id=1AFUGTjvpV1FqByvfq5B6nt4hTTr6veon
https://drive.google.com/open?id=1VCDzlGgepKSOgdyTb6ekS84iPfuXtaM9</t>
  </si>
  <si>
    <t>VALVE, REGULATOR (100 &amp;125 PSI) - (39905542)</t>
  </si>
  <si>
    <t>SM.010.002580.02.AJ</t>
  </si>
  <si>
    <t>WHEEL ALH15</t>
  </si>
  <si>
    <t>SM.010.002618.05.91</t>
  </si>
  <si>
    <t>SCREW PUMP (PN055#4CRON11N08T00)</t>
  </si>
  <si>
    <t>SM.010.002630.02.00</t>
  </si>
  <si>
    <t>WHEEL (ALH25 PERISTALTIC PUMP)</t>
  </si>
  <si>
    <t>SM.013.000194.02.59</t>
  </si>
  <si>
    <t>SPINGUM HOSE (05.40.139)</t>
  </si>
  <si>
    <t>SM.010.002639.14.BA</t>
  </si>
  <si>
    <t>LIP SEAL GA75 (1622 8798 00)</t>
  </si>
  <si>
    <t>SGD</t>
  </si>
  <si>
    <t>HOSE (1625595500)</t>
  </si>
  <si>
    <t>https://drive.google.com/open?id=1KoGG-Pp2tTAxZmrR83W1aZNUm2ZYt_GF
https://drive.google.com/open?id=1GONlA4a6UUZ9FNIKg8lc5I_MOtbbFmWu</t>
  </si>
  <si>
    <t>VALVE OIL TEMPERATURE BYPASS (39902374)</t>
  </si>
  <si>
    <t>LINE FILTER ELEMENT (CCN 85565943)</t>
  </si>
  <si>
    <t>SM.010.002657.02.AK</t>
  </si>
  <si>
    <t>INSERT (ALH151203-00-20)</t>
  </si>
  <si>
    <t>SM.013.000197.02.59</t>
  </si>
  <si>
    <t>SM.010.002660.02.AK</t>
  </si>
  <si>
    <t>SHOE (ALH250530)</t>
  </si>
  <si>
    <t>BLACK BALL FOR PUMP 3D (59975010700)</t>
  </si>
  <si>
    <t>SM.010.005068.06.2C</t>
  </si>
  <si>
    <t>BALL SEAT (59975010400)</t>
  </si>
  <si>
    <t>SM.011.000067.03.62</t>
  </si>
  <si>
    <t>GAUGE-5739040</t>
  </si>
  <si>
    <t>SM.011.000077.02.55</t>
  </si>
  <si>
    <t>PILOT VALVE-ASSEMBLY 09511000</t>
  </si>
  <si>
    <t>SM.011.000132.05.87</t>
  </si>
  <si>
    <t>SOLENOID VALVE-05576022</t>
  </si>
  <si>
    <t>https://drive.google.com/open?id=1Rzwy4xvABPRj46f4GB5NCH38ySUSBzeX</t>
  </si>
  <si>
    <t>SM.011.000135.05.87</t>
  </si>
  <si>
    <t>SOLENOID VALVE-05576077</t>
  </si>
  <si>
    <t>SM.011.000172.05.86</t>
  </si>
  <si>
    <t>SOLENOID VALVE-5576156</t>
  </si>
  <si>
    <t>SM.011.000207.03.70</t>
  </si>
  <si>
    <t>VALVE-05168424</t>
  </si>
  <si>
    <t>SM.012.000478.02.47</t>
  </si>
  <si>
    <t>SM.011.000211.03.62</t>
  </si>
  <si>
    <t>VALVE-05552050</t>
  </si>
  <si>
    <t>SM.011.000217.05.86</t>
  </si>
  <si>
    <t>VALVE-05556012</t>
  </si>
  <si>
    <t>SM.011.000332.05.87</t>
  </si>
  <si>
    <t>VALVE 05565580</t>
  </si>
  <si>
    <t>SM.011.000353.05.86</t>
  </si>
  <si>
    <t>SOLENOID VALVE 05578004</t>
  </si>
  <si>
    <t>SM.011.000356.03.62</t>
  </si>
  <si>
    <t>PRESSURE GUAGE-(5739039)</t>
  </si>
  <si>
    <t>SM.011.000570.00.00</t>
  </si>
  <si>
    <t>WATER FLOW METER-2?</t>
  </si>
  <si>
    <r>
      <rPr>
        <color rgb="FF1155CC"/>
        <u/>
      </rPr>
      <t>https://drive.google.com/open?id=1KrMlCP5Y1pkMuZ_ZpbhF9eplr-COg4Cg</t>
    </r>
    <r>
      <rPr>
        <color rgb="FF1155CC"/>
        <u/>
      </rPr>
      <t xml:space="preserve">
</t>
    </r>
    <r>
      <rPr>
        <color rgb="FF1155CC"/>
        <u/>
      </rPr>
      <t>https://drive.google.com/open?id=1sVtvCLnsFmDXFwJ3RqC6iS9o7y3ODkcE</t>
    </r>
  </si>
  <si>
    <t>SM.011.000571.05.AT</t>
  </si>
  <si>
    <t>POWERED VALVE (6417376)</t>
  </si>
  <si>
    <t>SM.011.000574.05.AP</t>
  </si>
  <si>
    <t>SOLENOID VALVE (5572174)</t>
  </si>
  <si>
    <t>SM.011.000580.05.AP</t>
  </si>
  <si>
    <t>SOLENOID VALVE-(5576192)</t>
  </si>
  <si>
    <t>BALL VALVE PTFE-(05.70.018)</t>
  </si>
  <si>
    <t>SM.011.002278.03.62</t>
  </si>
  <si>
    <t>VALVE 5552051 02 67</t>
  </si>
  <si>
    <t>SM.011.002290.07.AA</t>
  </si>
  <si>
    <t>SOLENOID VALVE CC26100007</t>
  </si>
  <si>
    <t>SM.011.002291.07.AA</t>
  </si>
  <si>
    <t>SOLENOID VALVE CC26100027</t>
  </si>
  <si>
    <t>SM.011.002336.09.AM</t>
  </si>
  <si>
    <t>SOLENOID VALVE-(9640100066)</t>
  </si>
  <si>
    <r>
      <rPr>
        <color rgb="FF1155CC"/>
        <u/>
      </rPr>
      <t>https://drive.google.com/open?id=1Vkdvb5LtZL8CGfq9x-3zVyz7jShDtZuG</t>
    </r>
    <r>
      <rPr/>
      <t xml:space="preserve">
</t>
    </r>
    <r>
      <rPr>
        <color rgb="FF1155CC"/>
        <u/>
      </rPr>
      <t>https://drive.google.com/open?id=1KE_9huGqoLKuQ-M67CIRijzm8aXaDnX-</t>
    </r>
    <r>
      <rPr/>
      <t xml:space="preserve">
</t>
    </r>
    <r>
      <rPr>
        <color rgb="FF1155CC"/>
        <u/>
      </rPr>
      <t>https://drive.google.com/open?id=1nFMXvmXCkg6V8-cBclBwtmmtkf9xJiBs
https://drive.google.com/open?id=1SlhWv7w30YmeA8nE7-qiV7yHxWOlICbH</t>
    </r>
  </si>
  <si>
    <t>SM.011.002337.09.AM</t>
  </si>
  <si>
    <t>SOLENOID VALVE-(9640100067)</t>
  </si>
  <si>
    <t>SM.011.002387.07.3Y</t>
  </si>
  <si>
    <t>VALVE - FMS - 250/81.9-(CCT+0010006)</t>
  </si>
  <si>
    <t>SM.011.002408.05.AT</t>
  </si>
  <si>
    <t>SM.016.005485.02.47</t>
  </si>
  <si>
    <t>GAS SOLENOID VALVE-(05580590 (A204107029 ))</t>
  </si>
  <si>
    <t>SM.011.002413.05.AP</t>
  </si>
  <si>
    <t>VALVE-(05553027)</t>
  </si>
  <si>
    <t>SM.011.002417.05.AP</t>
  </si>
  <si>
    <t>VALVE-(05565579)</t>
  </si>
  <si>
    <t>SM.011.002418.05.AP</t>
  </si>
  <si>
    <t>VALVE-(PH50009920)</t>
  </si>
  <si>
    <t>SM.011.002419.05.AP</t>
  </si>
  <si>
    <t>VALVE-(PH50009921)</t>
  </si>
  <si>
    <r>
      <rPr>
        <color rgb="FF1155CC"/>
        <u/>
      </rPr>
      <t>https://drive.google.com/open?id=1He52eiaM-jwWsyUexm1_lGg_IZw2BAci</t>
    </r>
    <r>
      <rPr/>
      <t xml:space="preserve">
</t>
    </r>
    <r>
      <rPr>
        <color rgb="FF1155CC"/>
        <u/>
      </rPr>
      <t>https://drive.google.com/open?id=1lFfjjS_h0WdKBJwZh4w4G9qSNuhRI4hL</t>
    </r>
    <r>
      <rPr/>
      <t xml:space="preserve">
</t>
    </r>
    <r>
      <rPr>
        <color rgb="FF1155CC"/>
        <u/>
      </rPr>
      <t>https://drive.google.com/open?id=1pt8InwpF5iG9vsa_ExYYEzGFztJqq76l</t>
    </r>
  </si>
  <si>
    <t>SM.011.002437.05.AP</t>
  </si>
  <si>
    <t>SOLENOID VALVE-(05552606)</t>
  </si>
  <si>
    <t>SM.011.002454.05.AP</t>
  </si>
  <si>
    <t>HYDRAULIC CONTROL (DCL17506903)</t>
  </si>
  <si>
    <t>SM.011.002455.07.AA</t>
  </si>
  <si>
    <t>SAFETY VALVE (CCT+0010520)</t>
  </si>
  <si>
    <t>SM.016.006341.02.47</t>
  </si>
  <si>
    <t>SM.011.002457.07.AA</t>
  </si>
  <si>
    <t>MOTORISED VALVE (CCT+0006924)</t>
  </si>
  <si>
    <t>SM.011.003037.07.AA</t>
  </si>
  <si>
    <t>VALVE (CC26200002)</t>
  </si>
  <si>
    <t>SM.011.003038.07.AA</t>
  </si>
  <si>
    <t>SOLENOID VALVE (CCT+0006140)</t>
  </si>
  <si>
    <t>SM.012.000004.02.55</t>
  </si>
  <si>
    <t>AIR VALVE ASSEMBLY 031173000</t>
  </si>
  <si>
    <t>SM.012.000028.02.58</t>
  </si>
  <si>
    <t>BALL VALVE CHECK-050014365</t>
  </si>
  <si>
    <t>SM.012.000049.05.86</t>
  </si>
  <si>
    <t>CHECK VALVE-MOR04001804-9A/12</t>
  </si>
  <si>
    <t>SM.012.000050.05.86</t>
  </si>
  <si>
    <t>https://drive.google.com/open?id=1DoPf-Q5-t8aeH58kmMzSFewdgSrWFVX2
https://drive.google.com/open?id=16EblI-XN2cAqyaSwCdE23lI6tsTfbWzU</t>
  </si>
  <si>
    <t>CHECK VALVE-MOR1502801</t>
  </si>
  <si>
    <t>SM.012.000174.06.2N</t>
  </si>
  <si>
    <t>CYLINDER-MOTOR-9110440000</t>
  </si>
  <si>
    <t>SM.012.000310.05.89</t>
  </si>
  <si>
    <t>PISTON PH25202913</t>
  </si>
  <si>
    <t>SM.016.006928.02.47</t>
  </si>
  <si>
    <t>SM.012.000311.05.89</t>
  </si>
  <si>
    <t>PISTON PH25302901</t>
  </si>
  <si>
    <t>TAP 3"-5176104-2B/5</t>
  </si>
  <si>
    <t>SM.012.000494.05.1H</t>
  </si>
  <si>
    <t>UNION-5141813</t>
  </si>
  <si>
    <t>SM.012.000597.05.86</t>
  </si>
  <si>
    <t>PISTON PH 49409902</t>
  </si>
  <si>
    <t>SM.012.000608.08.AU</t>
  </si>
  <si>
    <t>FLEXIBLE SUCTION CUP-(90011979) 90020742</t>
  </si>
  <si>
    <t>BODY 00022141</t>
  </si>
  <si>
    <r>
      <rPr>
        <color rgb="FF1155CC"/>
        <u/>
      </rPr>
      <t>https://drive.google.com/open?id=18D0AqekxH2wHRwZ6gRG2yNdSrJNXzUY2</t>
    </r>
    <r>
      <rPr/>
      <t xml:space="preserve">
</t>
    </r>
    <r>
      <rPr>
        <color rgb="FF1155CC"/>
        <u/>
      </rPr>
      <t>https://drive.google.com/open?id=1CrWQIEAYW_TkWN62rPrXaTLUPjmV-pTf</t>
    </r>
  </si>
  <si>
    <t>SM.012.000674.00.00</t>
  </si>
  <si>
    <t>CYLINDER K200400050M - 5771926 4/6</t>
  </si>
  <si>
    <t>SM.012.000717.07.3C</t>
  </si>
  <si>
    <t>CYLINDER-(APNAB0049)</t>
  </si>
  <si>
    <t>SM.012.000725.06.9Z</t>
  </si>
  <si>
    <t>FITTING TUBE-TUBE PVDF S021021 08ACCS02102108RC</t>
  </si>
  <si>
    <t>SM.012.000770.09.AE</t>
  </si>
  <si>
    <t>SM.014.000648.02.47</t>
  </si>
  <si>
    <t>CYLINDER-(ESC-63X150-S-FB)</t>
  </si>
  <si>
    <t>SM.012.000777.00.00</t>
  </si>
  <si>
    <t>HOSE-(ALH151600)</t>
  </si>
  <si>
    <t>SM.012.000778.00.00</t>
  </si>
  <si>
    <t>HOSE-(ALH251600)</t>
  </si>
  <si>
    <t>SM.012.000832.08.AM</t>
  </si>
  <si>
    <t>CYLINDER-(9660102550)</t>
  </si>
  <si>
    <r>
      <rPr>
        <color rgb="FF1155CC"/>
        <u/>
      </rPr>
      <t>https://drive.google.com/open?id=1PwEsU_-EH4_a7o6cdeneTghaUu-sHmJG</t>
    </r>
    <r>
      <rPr/>
      <t xml:space="preserve">
</t>
    </r>
    <r>
      <rPr>
        <color rgb="FF1155CC"/>
        <u/>
      </rPr>
      <t>https://drive.google.com/open?id=15kUAvw2Aw5d78S8YXTeEp_omlOA6m5rv</t>
    </r>
  </si>
  <si>
    <t>SM.012.000834.08.AM</t>
  </si>
  <si>
    <t>CYLINDER-(9660102568)</t>
  </si>
  <si>
    <t>SM.012.000849.08.AM</t>
  </si>
  <si>
    <t>SM.016.006927.02.47</t>
  </si>
  <si>
    <t>CYLINDER 9660105093</t>
  </si>
  <si>
    <t>SM.012.000947.05.AP</t>
  </si>
  <si>
    <t>CYLINDER-(05774780)</t>
  </si>
  <si>
    <t>SM.012.000982.08.4J</t>
  </si>
  <si>
    <t>CYLINDER-(9660105092)</t>
  </si>
  <si>
    <t>SM.012.001054.05.AP</t>
  </si>
  <si>
    <t>CYLINDER - (5771046)</t>
  </si>
  <si>
    <t>https://drive.google.com/open?id=1y-bYyL6n3UPtrOj-iU7tUhYVfYg4H9Nm
https://drive.google.com/open?id=1j0GodbV8wInVtGJvZMQ-IvqY-W0oP-Uj</t>
  </si>
  <si>
    <t>SM.012.001064.07.AA</t>
  </si>
  <si>
    <t>CYLINDER-(D40519614)</t>
  </si>
  <si>
    <t>SM.012.001065.05.AP</t>
  </si>
  <si>
    <t>PIPE (5217202)</t>
  </si>
  <si>
    <t>SM.012.001066.07.3K</t>
  </si>
  <si>
    <t>CYLINDER-(D45519264)</t>
  </si>
  <si>
    <t>SM.012.001080.05.AP</t>
  </si>
  <si>
    <t>PIPE (5208191)</t>
  </si>
  <si>
    <t>SM.012.001081.05.AP</t>
  </si>
  <si>
    <t>PIPE (5217786)</t>
  </si>
  <si>
    <t>SM.012.001082.05.AP</t>
  </si>
  <si>
    <t>CYLINDER (5771023)</t>
  </si>
  <si>
    <t>SM.012.001164.07.3K</t>
  </si>
  <si>
    <t>CYLINDER (D45519291)</t>
  </si>
  <si>
    <t>SM.012.001171.05.AP</t>
  </si>
  <si>
    <t>AIR COMPONENTS (PH46606904)</t>
  </si>
  <si>
    <t>SM.012.001172.05.AP</t>
  </si>
  <si>
    <t>PIPE (5207300)</t>
  </si>
  <si>
    <t>https://drive.google.com/open?id=1qzPzsKCWr_cGpXf_4tGJORnIhCd5ztTN
https://drive.google.com/open?id=16AJcWRSBqV-WJ_YigP_uknbQo2E4pCBo</t>
  </si>
  <si>
    <t>SM.012.001175.05.AP</t>
  </si>
  <si>
    <t>VALVE (PH50009919)</t>
  </si>
  <si>
    <t>SM.012.001176.05.AP</t>
  </si>
  <si>
    <t>VALVE (PH50009918)</t>
  </si>
  <si>
    <t>SM.012.001195.05.AT</t>
  </si>
  <si>
    <t>PRESSURE REDUCE (5663055)</t>
  </si>
  <si>
    <t>SM.012.002405.05.1H</t>
  </si>
  <si>
    <t>PISTON-SMU15605800</t>
  </si>
  <si>
    <t>SM.012.002408.08.AM</t>
  </si>
  <si>
    <t>CYLINDER (IC004797)</t>
  </si>
  <si>
    <t>SM.012.002421.08.AM</t>
  </si>
  <si>
    <t>PNEUMATICS PANEL (90006757)</t>
  </si>
  <si>
    <t>SM.012.002437.05.AP</t>
  </si>
  <si>
    <t>CYLINDER RUN 50 A2074</t>
  </si>
  <si>
    <r>
      <rPr>
        <color rgb="FF1155CC"/>
        <u/>
      </rPr>
      <t>https://drive.google.com/open?id=1xEcJh2LLLkwURW3MMY6lYGq3e-FE6kBo</t>
    </r>
    <r>
      <rPr>
        <color rgb="FF1155CC"/>
        <u/>
      </rPr>
      <t xml:space="preserve">
</t>
    </r>
    <r>
      <rPr>
        <color rgb="FF1155CC"/>
        <u/>
      </rPr>
      <t>https://drive.google.com/open?id=1K3oC77qOA3xVRA5OOGftPPyKPyJGKmNm</t>
    </r>
  </si>
  <si>
    <t>CYLINDER 05.24.142</t>
  </si>
  <si>
    <t>SM.012.004595.05.89</t>
  </si>
  <si>
    <t>CYLINDER-05771926</t>
  </si>
  <si>
    <t>SM.012.004613.06.2N</t>
  </si>
  <si>
    <t>PERISTALTIC PUMP PIPE (8324377700)</t>
  </si>
  <si>
    <t>SM.012.004614.14.5P</t>
  </si>
  <si>
    <t>ELEMENT, SEPARATOR TANK (23708423)</t>
  </si>
  <si>
    <t>SM.012.004660.05.86</t>
  </si>
  <si>
    <t>CYLINDER (5602025)</t>
  </si>
  <si>
    <t>SM.013.000066.08.4J</t>
  </si>
  <si>
    <t>WHEEL-(8128027000)</t>
  </si>
  <si>
    <t>SM.013.000109.05.AT</t>
  </si>
  <si>
    <t>ROLLER (EVA99205020)</t>
  </si>
  <si>
    <t>SM.013.000110.05.AP</t>
  </si>
  <si>
    <t>WHEEL WITH SCRAPER (DCL17505904)</t>
  </si>
  <si>
    <t>https://drive.google.com/open?id=1RF-b7wYpPbX1lUWPtqi47XbU9GS-mqO2
https://drive.google.com/open?id=1WEPUNf4QSZZ5KUDnwCo4QAUJoAI4q-OB</t>
  </si>
  <si>
    <t>SM.013.000112.05.AT</t>
  </si>
  <si>
    <t>ROLLER (65.02.124.D2)</t>
  </si>
  <si>
    <t>SM.013.000114.05.AT</t>
  </si>
  <si>
    <t>ROLLER (89.03.423.X3)</t>
  </si>
  <si>
    <t>SM.013.000117.05.AP</t>
  </si>
  <si>
    <t>ROLLER (79.03.477.X3)</t>
  </si>
  <si>
    <t>SM.013.000117.08.4J</t>
  </si>
  <si>
    <t>RACK-8113213200 27</t>
  </si>
  <si>
    <t>SM.013.000120.06.2F</t>
  </si>
  <si>
    <t>ROLLER TF RM.1300 L.800-(05.43.058)</t>
  </si>
  <si>
    <t>SM.013.000131.08.AM</t>
  </si>
  <si>
    <t>WHEEL-(C9281200005)</t>
  </si>
  <si>
    <r>
      <rPr>
        <color rgb="FF1155CC"/>
        <u/>
      </rPr>
      <t>https://drive.google.com/open?id=1Bj8r3-wdlNdgWK72v43KdVFxQA7vZrAc</t>
    </r>
    <r>
      <rPr/>
      <t xml:space="preserve">
</t>
    </r>
    <r>
      <rPr>
        <color rgb="FF1155CC"/>
        <u/>
      </rPr>
      <t>https://drive.google.com/open?id=1jp74jk1xXQlGgRTim8-CIVWYgJxZY-zM
https://drive.google.com/open?id=12RUH3z5gO3S9slAxQuCNFhDaCZBwlcqs</t>
    </r>
  </si>
  <si>
    <t>SM.013.000135.06.1T</t>
  </si>
  <si>
    <t>ROLLER WITH PIN-420944147</t>
  </si>
  <si>
    <t>SM.013.000136.06.1S</t>
  </si>
  <si>
    <t>ROLLER-(35X1050) 440940044</t>
  </si>
  <si>
    <t>SM.013.000137.06.1S</t>
  </si>
  <si>
    <t>ROLLER-(35X2348) 440940045</t>
  </si>
  <si>
    <t>SM.013.000152.02.02</t>
  </si>
  <si>
    <t>SET OF THREE ROLLERS (GR. TERNA RULLI TN800)</t>
  </si>
  <si>
    <t>SM.016.006597.02.47</t>
  </si>
  <si>
    <t>SM.013.000153.02.02</t>
  </si>
  <si>
    <t>RETURN ROLLER ( 60 M 8 L=879)</t>
  </si>
  <si>
    <t>SM.013.000183.08.4J</t>
  </si>
  <si>
    <t>ROLLER-9213504006 7 9</t>
  </si>
  <si>
    <t>SM.013.000184.08.4J</t>
  </si>
  <si>
    <t>ROLLER-9213504007 7 24</t>
  </si>
  <si>
    <t>ROLLER (V) L=470MM D=60MM C03700100)</t>
  </si>
  <si>
    <t>ROLLER L=442MM D=60MM (C03100107)</t>
  </si>
  <si>
    <t>SM.013.000202.07.3K</t>
  </si>
  <si>
    <t>ROLLER-D505101374 4 C1-03</t>
  </si>
  <si>
    <r>
      <rPr>
        <color rgb="FF1155CC"/>
        <u/>
      </rPr>
      <t>https://drive.google.com/open?id=1hgWpOUgiPqyUUKErNIWc3zT21KCeX447</t>
    </r>
    <r>
      <rPr/>
      <t xml:space="preserve">
</t>
    </r>
    <r>
      <rPr>
        <color rgb="FF1155CC"/>
        <u/>
      </rPr>
      <t>https://drive.google.com/open?id=1GLMI7RV78IK9k4Ck79o1wfHPNIaorzwg
https://drive.google.com/open?id=1k5J-SfeMmvGlZtcEOO7W8Sgcb7rfgiiY</t>
    </r>
  </si>
  <si>
    <t>SM.013.000207.07.2S</t>
  </si>
  <si>
    <t>BOX ROLLER D.22X0.9X1990 (SP000-22527)</t>
  </si>
  <si>
    <t>SM.013.000259.05.1O</t>
  </si>
  <si>
    <t>WHEEL (PULLEY) ACP 14002037</t>
  </si>
  <si>
    <t>SM.013.000415.07.3Z</t>
  </si>
  <si>
    <t>SM.016.006896.03.75</t>
  </si>
  <si>
    <t>ROLLER D455101236 11/2 14</t>
  </si>
  <si>
    <t>SM.013.000416.07.3Z</t>
  </si>
  <si>
    <t>ROLLER D455101382 4 1/3 14</t>
  </si>
  <si>
    <t>SM.013.000417.07.3Z</t>
  </si>
  <si>
    <t>ROLLER D455101420 4 1/3 15</t>
  </si>
  <si>
    <t>SM.013.000485.02.44</t>
  </si>
  <si>
    <t>CHAIN WHEEL-(P03000296)</t>
  </si>
  <si>
    <t>SM.013.000525.09.AF</t>
  </si>
  <si>
    <t>https://drive.google.com/open?id=1NPBtI8tr6Ql3QduYRicUXSJjuSAv-qe5
https://drive.google.com/open?id=1QP8EGxUEVPYSn5J0e8U0zcifcsmW9QMO</t>
  </si>
  <si>
    <t>UPPER MOVABLE WHEEL-(TBSC8.01-01 )</t>
  </si>
  <si>
    <t>SM.013.000537.05.98</t>
  </si>
  <si>
    <t>WHEEL-(EVA90215001)</t>
  </si>
  <si>
    <t>SM.013.000538.08.AM</t>
  </si>
  <si>
    <t>ROLER-(8128103900)</t>
  </si>
  <si>
    <t>SM.013.000543.07.3K</t>
  </si>
  <si>
    <t>ROLLER-(D455101142)</t>
  </si>
  <si>
    <t>https://drive.google.com/open?id=1hkGPbfq4yGNibje3wTv_afkFUJ6eEq39
https://drive.google.com/open?id=1tiKzCHDTS8sh688xVZP-u0H-W0hV4x51</t>
  </si>
  <si>
    <t>SM.013.000545.08.4J</t>
  </si>
  <si>
    <t>ROLLER-(9282050005)</t>
  </si>
  <si>
    <t>SM.013.000546.07.AA</t>
  </si>
  <si>
    <t>GEAR-(D50512369)</t>
  </si>
  <si>
    <t>SM.013.000547.07.AA</t>
  </si>
  <si>
    <t>COMPLETE ROLLER-(D455101262)</t>
  </si>
  <si>
    <t>SM.013.000548.07.AA</t>
  </si>
  <si>
    <t>WHEEL-(D50510698)</t>
  </si>
  <si>
    <t>SM.013.000549.07.AA</t>
  </si>
  <si>
    <t>ROLLER-(D455101176)</t>
  </si>
  <si>
    <t>SM.013.000550.07.AA</t>
  </si>
  <si>
    <t>WHEEL-(6606CM0080)</t>
  </si>
  <si>
    <t>SM.013.000554.09.4Y</t>
  </si>
  <si>
    <t>LOWER MOVABLE WHEEL-(TBSC1.01-01)</t>
  </si>
  <si>
    <t>SM.013.000562.08.4S</t>
  </si>
  <si>
    <t>ROLLER-(M3 08006)</t>
  </si>
  <si>
    <t>SM.013.000563.08.4S</t>
  </si>
  <si>
    <t>PULLING GEAR-(M3 04003)</t>
  </si>
  <si>
    <t>SM.013.000571.00.00</t>
  </si>
  <si>
    <t>ANTITRACE SUPERELASTIC WHEEL (DULEVO SWEEPER)-(5070019896)</t>
  </si>
  <si>
    <t>SM.013.000580.09.AF</t>
  </si>
  <si>
    <t>GEAR -(TBSC8-04)</t>
  </si>
  <si>
    <t>SM.013.000605.07.3Z</t>
  </si>
  <si>
    <t>ROLLER-(D505101535)</t>
  </si>
  <si>
    <t>SM.013.000631.05.AP</t>
  </si>
  <si>
    <t>WHEEL-(06436033)</t>
  </si>
  <si>
    <t>SM.013.000634.02.59</t>
  </si>
  <si>
    <t>ROLLER (V) L=630MM D=60MM (C03700102)</t>
  </si>
  <si>
    <t>SM.013.000636.09.AU</t>
  </si>
  <si>
    <t>ROLLER-(8128298200)</t>
  </si>
  <si>
    <t>SM.013.000667.05.DC</t>
  </si>
  <si>
    <t>HEPCO DRIVING ROLL W4X-1070180036</t>
  </si>
  <si>
    <t>SM.013.000671.05.DC</t>
  </si>
  <si>
    <t>GEAR (ROLL KRVE16PP SKF)-1070183012</t>
  </si>
  <si>
    <t>SM.013.000672.05.DC</t>
  </si>
  <si>
    <t>ROLLER WITH CONCENTRIC PIN SWAC2X HEPCO--1070180037</t>
  </si>
  <si>
    <t>SM.013.000673.07.BH</t>
  </si>
  <si>
    <t>ROLL (PM177-0601)</t>
  </si>
  <si>
    <t>SM.013.000674.07.BH</t>
  </si>
  <si>
    <t>ROLL (PM177-0123)</t>
  </si>
  <si>
    <t>SM.013.000683.08.AM</t>
  </si>
  <si>
    <t>CLUTCHED DOUBLE ROLLER (9282080000)</t>
  </si>
  <si>
    <t>SM.013.000693.05.DC</t>
  </si>
  <si>
    <t>ROLLER (X05420011632)</t>
  </si>
  <si>
    <t>SM.013.000695.05.DC</t>
  </si>
  <si>
    <t>ROLLER (X05420011615)</t>
  </si>
  <si>
    <t>SM.013.000708.09.4Y</t>
  </si>
  <si>
    <t>ROLLER (XGT.12V12)</t>
  </si>
  <si>
    <t>SM.013.000709.00.00</t>
  </si>
  <si>
    <t>LOAD WHEEL FMX 25</t>
  </si>
  <si>
    <t>ROLLER (19.26.001)</t>
  </si>
  <si>
    <t>SM.013.000728.09.4Y</t>
  </si>
  <si>
    <t>ROLLER 50X1720 (LOADING MACHINE ROLLER CONVEYOR)</t>
  </si>
  <si>
    <t>SM.013.000729.08.AM</t>
  </si>
  <si>
    <t>WHEEL (9213503212)</t>
  </si>
  <si>
    <t>SM.013.000730.08.AM</t>
  </si>
  <si>
    <t>WHEEL (9213503213)</t>
  </si>
  <si>
    <t>SM.013.000732.08.AM</t>
  </si>
  <si>
    <t>ROLLERS (9282080001)</t>
  </si>
  <si>
    <t>SM.013.000741.08.AM</t>
  </si>
  <si>
    <t>TOOTHED WHEEL (C8113024500)</t>
  </si>
  <si>
    <t>SM.013.000752.09.4Y</t>
  </si>
  <si>
    <t>RUBBER ROLLER (L1200/1050+17/20)</t>
  </si>
  <si>
    <t>SM.013.000755.09.4Y</t>
  </si>
  <si>
    <t>TENSIONING ROLLER (K0256C.01.05.01.01)</t>
  </si>
  <si>
    <t>SM.013.000773.02.02</t>
  </si>
  <si>
    <t>DRIVING CYLINDER (Not rubbered)</t>
  </si>
  <si>
    <t>SM.013.000774.02.02</t>
  </si>
  <si>
    <t>DRIVE CYLINDER</t>
  </si>
  <si>
    <t>SM.013.000816.01.41</t>
  </si>
  <si>
    <t>DRIVE ROLLER FOR BUCKET ELEVATOR ET2 (02.017)</t>
  </si>
  <si>
    <t>SM.013.000825.04.79</t>
  </si>
  <si>
    <t>CONVEYOR ROLLER L=430</t>
  </si>
  <si>
    <t>SM.014.000001.07.BH</t>
  </si>
  <si>
    <t>SHAFT (PM001-0009)</t>
  </si>
  <si>
    <t>SM.014.000024.09.AW</t>
  </si>
  <si>
    <t>ROCK SHAFT-(TBSZ3D-02)</t>
  </si>
  <si>
    <t>SM.014.000112.09.5I</t>
  </si>
  <si>
    <t>SHAFT-(8110095300)</t>
  </si>
  <si>
    <t>SM.014.000113.09.5I</t>
  </si>
  <si>
    <t>PIN-(8127045300)</t>
  </si>
  <si>
    <t>SM.014.000158.05.AT</t>
  </si>
  <si>
    <t>SHAFT (EVA90215098)</t>
  </si>
  <si>
    <t>SM.014.000159.05.AT</t>
  </si>
  <si>
    <t>PIN (EVA91215044)</t>
  </si>
  <si>
    <t>SHAFT 000-22194</t>
  </si>
  <si>
    <t>SM.014.000194.09.4Y</t>
  </si>
  <si>
    <t>KD358H-07 Head shaft-(200475516)</t>
  </si>
  <si>
    <t>SM.014.000204.08.5I</t>
  </si>
  <si>
    <t>SPLINED SHAFT 32-26-6 L=620-(8110101700 )</t>
  </si>
  <si>
    <t>SM.014.000227.09.4Y</t>
  </si>
  <si>
    <t>DRIVE SHAFT (ZK03395(1).06-03)</t>
  </si>
  <si>
    <t>SM.014.000556.08.4J</t>
  </si>
  <si>
    <t>PIN-IDLE 9213503210</t>
  </si>
  <si>
    <t>SM.014.000557.08.4J</t>
  </si>
  <si>
    <t>PIN-IDLE 9213503211</t>
  </si>
  <si>
    <t>SM.014.000584.06.1T</t>
  </si>
  <si>
    <t>ROD-420100104</t>
  </si>
  <si>
    <t>SHAFT MTD 34003047 TAB 5A1 FIG 29</t>
  </si>
  <si>
    <t>SM.014.000658.05.1Q</t>
  </si>
  <si>
    <t>SHAFT-(1/10) SP14501074</t>
  </si>
  <si>
    <t>SHAFT-000-22136</t>
  </si>
  <si>
    <t>SM.014.000757.05.87</t>
  </si>
  <si>
    <t>SHAFT-ACP 16008003 4101 29</t>
  </si>
  <si>
    <t>SM.014.000941.00.00</t>
  </si>
  <si>
    <t>MS ROD 12MM</t>
  </si>
  <si>
    <t>PIN 420730125</t>
  </si>
  <si>
    <t>SM.014.001015.02.44</t>
  </si>
  <si>
    <t>PIN-(P03000297)</t>
  </si>
  <si>
    <t>SM.014.001018.09.4Y</t>
  </si>
  <si>
    <t>UPPER DRIVE SHAFT TBSC8A-05V06</t>
  </si>
  <si>
    <t>SM.014.001075.09.4Z</t>
  </si>
  <si>
    <t>DRIVE WHEEL SHAFT-(TBSC8A-03)</t>
  </si>
  <si>
    <t>SM.014.001093.09.AF</t>
  </si>
  <si>
    <t>LOWER MOVABLE WHEEL SHAFT-(TBSC-28 )</t>
  </si>
  <si>
    <t>SM.014.001156.07.AA</t>
  </si>
  <si>
    <t>PIN-(D505213067)</t>
  </si>
  <si>
    <t>SM.014.001322.09.AU</t>
  </si>
  <si>
    <t>LOOSE PIN-(9213503215)</t>
  </si>
  <si>
    <t>SM.014.001333.09.5I</t>
  </si>
  <si>
    <t>SHAFT-(8110095200)</t>
  </si>
  <si>
    <t>SM.014.001344.07.BH</t>
  </si>
  <si>
    <t>ROLL (PM177-0394)</t>
  </si>
  <si>
    <t>SM.014.001357.02.47</t>
  </si>
  <si>
    <t>SHAFT (MTD34004065)</t>
  </si>
  <si>
    <t>ECCENTRIC PIN 420730076</t>
  </si>
  <si>
    <t>SM.014.001486.01.41</t>
  </si>
  <si>
    <t>DRIVING SHAFT (ET2 BUCKET ELEVATOR)</t>
  </si>
  <si>
    <t>SM.014.003001.02.47</t>
  </si>
  <si>
    <t>SHAFT (MTD34004022)</t>
  </si>
  <si>
    <t>SM.014.005043.08.4S</t>
  </si>
  <si>
    <t>AXIS M3 GR00031</t>
  </si>
  <si>
    <t>SM.014.005128.09.4Y</t>
  </si>
  <si>
    <t>MAIN SHAFT ? TGSG1000A.02.01-01R</t>
  </si>
  <si>
    <t>SM.014.005131.01.41</t>
  </si>
  <si>
    <t>DRIVE SHAFT FOR BUCKET ELEVATOR ET2 (02.022)</t>
  </si>
  <si>
    <t>SM.015.000038.19.AQ</t>
  </si>
  <si>
    <t>Seal kit hydraulic pump 4154609</t>
  </si>
  <si>
    <t>SM.015.000161.19.6Q</t>
  </si>
  <si>
    <t>VALVE EXCAVATOR 6 SPOOL SIDESHIFT 332/F6665 (JCB 3CX 4TA)</t>
  </si>
  <si>
    <t>SM.015.001001.02.47</t>
  </si>
  <si>
    <t>BRAKE LINER-5250205-6E.5/14</t>
  </si>
  <si>
    <t>SM.015.001487.19.00</t>
  </si>
  <si>
    <t>TYRE-28X9-15</t>
  </si>
  <si>
    <t>SPIDER &amp;amp; BEARING AS. 5V 1168</t>
  </si>
  <si>
    <t>SLEEVE AS-(CAT 7W5615)</t>
  </si>
  <si>
    <t>SPIDER GP-(8Y0809)</t>
  </si>
  <si>
    <t>SM.015.001947.19.6Q</t>
  </si>
  <si>
    <t>BRAKE MASTER PUMP FOR FD30T-17</t>
  </si>
  <si>
    <t>BELT ASS'Y (3EB-50-50862) FOR FD30T/17 KOMATSU FORKLIFT</t>
  </si>
  <si>
    <t>BACKLE ASS'Y (3EB-50-50872) FOR FD30T/17 KOMATSU FORKLIFT</t>
  </si>
  <si>
    <t>SM.015.002981.19.6O</t>
  </si>
  <si>
    <t>PIN PIVOT BLACK (811/90473)</t>
  </si>
  <si>
    <t>SM.015.003108.19.6P</t>
  </si>
  <si>
    <t>BALL STUD-(8J5392)</t>
  </si>
  <si>
    <t>SM.015.003335.00.00</t>
  </si>
  <si>
    <t>SACK FILTER FOR DULEVO SWEEPER-(6208118042)</t>
  </si>
  <si>
    <t>TOEPLATE BOLT ON 88? WIDE-(332/F8813)</t>
  </si>
  <si>
    <t>SM.015.003740.19.AQ</t>
  </si>
  <si>
    <t>HUB BOLT FOR HYSTER FORK LIFT 3.0XT</t>
  </si>
  <si>
    <t>SM.015.003742.19.00</t>
  </si>
  <si>
    <t>TYRE- 17.5X25 WHEEL LOADER</t>
  </si>
  <si>
    <t>MOUNT-(3EB-01-31640)</t>
  </si>
  <si>
    <t>SM.015.003811.19.6P</t>
  </si>
  <si>
    <t>COMPRESSOR GP-B-(4642120)</t>
  </si>
  <si>
    <t>SM.015.003989.19.AQ</t>
  </si>
  <si>
    <t>KIT SEAL (4623974)</t>
  </si>
  <si>
    <t>SM.015.003997.19.7F</t>
  </si>
  <si>
    <t>HUB BOLT</t>
  </si>
  <si>
    <t>LIFT CYLINDER SEAL KIT CAT914K (455-2277)</t>
  </si>
  <si>
    <t>TURBO CHARGER (317-6388)</t>
  </si>
  <si>
    <t>SM.015.004632.00.00</t>
  </si>
  <si>
    <t>SPOOL (3EB-15-58310)</t>
  </si>
  <si>
    <t>SM.015.004636.00.00</t>
  </si>
  <si>
    <t>PROPELLER SHAFT (3EB-20-51310)</t>
  </si>
  <si>
    <t>ARM AS-LIFTER-(7W3989)</t>
  </si>
  <si>
    <t>ARM AS-INJECTOR-(7E6794)</t>
  </si>
  <si>
    <t>ARM AS-UNIT INJ-(9Y3222)</t>
  </si>
  <si>
    <t>SHAFT AS-ARM (9Y8532 / 4P7790)</t>
  </si>
  <si>
    <t>ARM AS (7W4338 / 6I0924)</t>
  </si>
  <si>
    <t>ARM AS-UNIT INJ (9Y3222 / 1051776)</t>
  </si>
  <si>
    <t>SUPPORT-SHFT (9Y8534)</t>
  </si>
  <si>
    <t>SM.015.004713.19.6P</t>
  </si>
  <si>
    <t>INJECTOR GP-FUEL-(7E3513 / 1278205)</t>
  </si>
  <si>
    <t>CONTROL AS-RACK-(7C1514 / 1707670)</t>
  </si>
  <si>
    <t>SM.015.004735.15.00</t>
  </si>
  <si>
    <t>Hose-Reach truck fork tilter</t>
  </si>
  <si>
    <t>PISTON (9C8772)</t>
  </si>
  <si>
    <t>DISC-FRICTION (6Y7970)</t>
  </si>
  <si>
    <t>SM.015.004755.19.6Q</t>
  </si>
  <si>
    <t>ROD ASS'Y (NP23352-01582) FOR FD25T-14 FORK LIFT</t>
  </si>
  <si>
    <t>SEPARATOR (9C5687)</t>
  </si>
  <si>
    <t>SM.015.004797.19.6P</t>
  </si>
  <si>
    <t>PUMP GP-GEAR (3W9925) FOR CAT 910E LOADER</t>
  </si>
  <si>
    <t>SM.016.000027.05.1H</t>
  </si>
  <si>
    <t>ADJUSTMENT-SMU15010017-5A1/10</t>
  </si>
  <si>
    <t>SM.016.000034.06.2E</t>
  </si>
  <si>
    <t>ANGLE IRON SX-420070466-RUM002/27</t>
  </si>
  <si>
    <t>SM.016.000112.08.4J</t>
  </si>
  <si>
    <t>BLADE 8326355900 15 4</t>
  </si>
  <si>
    <t>SM.016.000168.05.84</t>
  </si>
  <si>
    <t>BRACKET-(SP14501009)</t>
  </si>
  <si>
    <t>SM.016.000169.05.84</t>
  </si>
  <si>
    <t>BRACKET-(SP14501010)</t>
  </si>
  <si>
    <t>SM.016.000185.02.47</t>
  </si>
  <si>
    <t>BRAKE PAD 05250157 1597C01 24</t>
  </si>
  <si>
    <t>SM.016.000198.05.89</t>
  </si>
  <si>
    <t>BRUSH 4903022 05/101</t>
  </si>
  <si>
    <t>SM.016.000199.05.87</t>
  </si>
  <si>
    <t>BRUSH 4903129 4 101</t>
  </si>
  <si>
    <t>SM.016.000207.05.85</t>
  </si>
  <si>
    <t>BRUSH-4903129</t>
  </si>
  <si>
    <t>BRUSHLESS CONT 804000000 TAV21/CF2</t>
  </si>
  <si>
    <t>COMPLETE BRUSH 2SP00025</t>
  </si>
  <si>
    <t>SM.016.000271.08.4F</t>
  </si>
  <si>
    <t>CABLE SUPPORT CHAIN 20040116</t>
  </si>
  <si>
    <t>SM.016.000277.09.4Y</t>
  </si>
  <si>
    <t>CAM KD268C-03A</t>
  </si>
  <si>
    <t>SM.016.000359.03.62</t>
  </si>
  <si>
    <t>COLUMN PPB13001029</t>
  </si>
  <si>
    <t>SM.016.000365.09.4Y</t>
  </si>
  <si>
    <t>COMPLETE DRIVING GROUP 3000040334</t>
  </si>
  <si>
    <t>SM.016.000392.01.40</t>
  </si>
  <si>
    <t>RIGHT LOWER SIDE ARMOUR POS.26 (1X-26TT)</t>
  </si>
  <si>
    <t>SM.016.000393.01.40</t>
  </si>
  <si>
    <t>UPPER RIGHT SIDE ARMOUR POS.28 (1X-28TT)</t>
  </si>
  <si>
    <t>SM.016.000404.05.88</t>
  </si>
  <si>
    <t>COUPLING 03325840 541 48</t>
  </si>
  <si>
    <t>SM.016.000405.05.88</t>
  </si>
  <si>
    <t>COUPLING 03325851 39 9</t>
  </si>
  <si>
    <t>SM.016.000426.05.1C</t>
  </si>
  <si>
    <t>COUPLING-CAM14003012</t>
  </si>
  <si>
    <t>SM.016.000495.05.86</t>
  </si>
  <si>
    <t>DEVICE SMC08506951-20E3/05</t>
  </si>
  <si>
    <t>SM.016.000519.02.48</t>
  </si>
  <si>
    <t>DISK MTD34003049</t>
  </si>
  <si>
    <t>ECCENTRIC (00022138)</t>
  </si>
  <si>
    <t>SM.016.000578.01.9A</t>
  </si>
  <si>
    <t>SWINGING JAW POS.10 (35K-10D)</t>
  </si>
  <si>
    <t>SM.016.000579.01.9A</t>
  </si>
  <si>
    <t>STATIONARY JAW POS.11 (35K-11D)</t>
  </si>
  <si>
    <t>SM.016.000581.01.39</t>
  </si>
  <si>
    <t>SWINGING JAW POS.10 (X36-10)</t>
  </si>
  <si>
    <t>SM.016.000583.01.39</t>
  </si>
  <si>
    <t>ELEMENT (MODX36 PCS 24)</t>
  </si>
  <si>
    <t>SM.016.000621.02.54</t>
  </si>
  <si>
    <t>FILTER CLOTHS-(DOUBLE)</t>
  </si>
  <si>
    <t>SM.016.000721.11.07</t>
  </si>
  <si>
    <t>GRINDING CHAMBER-31/13A</t>
  </si>
  <si>
    <t>SM.016.000735.05.AP</t>
  </si>
  <si>
    <t>RUBBER BELLOW 1600X637MM FOR MOULD PRESS PH5000L</t>
  </si>
  <si>
    <t>SM.016.000746.06.1T</t>
  </si>
  <si>
    <t>GUIDE 420520308</t>
  </si>
  <si>
    <t>SM.016.000823.08.4J</t>
  </si>
  <si>
    <t>GUIDE-8125042330 26</t>
  </si>
  <si>
    <t>SM.016.000851.06.2E</t>
  </si>
  <si>
    <t>POLIZENE BLACK PROFILE 20X16 D.12MM L=3000 WITH SPLIT 45</t>
  </si>
  <si>
    <t>SM.016.000874.01.40</t>
  </si>
  <si>
    <t>SPECIAL STEEL HAMMER WITH HEAT TREATMENT (ONE HOLE) 1X-14-1TT</t>
  </si>
  <si>
    <t>SM.016.000892.09.4Y</t>
  </si>
  <si>
    <t>COMPLETE PNEUMATIC CHAMFERING HEAD (KD378)</t>
  </si>
  <si>
    <t>SM.016.000893.09.4Y</t>
  </si>
  <si>
    <t>HEAD COMPLETE POLISHING KD268C</t>
  </si>
  <si>
    <t>SM.016.000938.08.4J</t>
  </si>
  <si>
    <t>HOSE-GLUE 25010123 9999960008</t>
  </si>
  <si>
    <t>SM.016.000947.11.07</t>
  </si>
  <si>
    <t>IMPELLER HOLDER HUB-31/11</t>
  </si>
  <si>
    <t>SM.016.001003.05.DC</t>
  </si>
  <si>
    <t>MOBILE SCRAPER 175-X05420011487</t>
  </si>
  <si>
    <t>SM.016.001005.05.DC</t>
  </si>
  <si>
    <t>REAR MOBILE SCRAPER-X05420011622</t>
  </si>
  <si>
    <t>SM.016.001007.05.DC</t>
  </si>
  <si>
    <t>NYLON BRUSH D.120 DIVARIO 175-X05420011456</t>
  </si>
  <si>
    <t>SM.016.001038.01.40</t>
  </si>
  <si>
    <t>LOWER LEFT SIDE ARMOUR POS. 25 (1X-25TT)</t>
  </si>
  <si>
    <t>SM.016.001039.01.40</t>
  </si>
  <si>
    <t>UPPER LEFT SIDE ARMOUR POS.27 (IX-27TT)</t>
  </si>
  <si>
    <t>LEVER-420580065</t>
  </si>
  <si>
    <t>SM.016.001115.05.84</t>
  </si>
  <si>
    <t>MAGNETIC DIE BASE 4C/300X300</t>
  </si>
  <si>
    <t>SM.016.001116.05.84</t>
  </si>
  <si>
    <t>MAGNETIC DIE THICKNESSER 400X400 3C</t>
  </si>
  <si>
    <t>SM.016.001144.07.3G</t>
  </si>
  <si>
    <t>MONOBLOCK KR 30 CC11570044</t>
  </si>
  <si>
    <t>SM.016.001146.05.89</t>
  </si>
  <si>
    <t>MOULDING-4903027</t>
  </si>
  <si>
    <t>SM.016.001389.02.47</t>
  </si>
  <si>
    <t>PLUG-MTD34001012-33/2</t>
  </si>
  <si>
    <t>SM.016.001403.05.88</t>
  </si>
  <si>
    <t>POCKET 05220022 22F 01</t>
  </si>
  <si>
    <t>SM.016.001406.05.87</t>
  </si>
  <si>
    <t>POCKET 05220056 2708 1</t>
  </si>
  <si>
    <t>SM.016.001409.05.97</t>
  </si>
  <si>
    <t>POINT-EVA17015043</t>
  </si>
  <si>
    <t>SM.016.001429.08.4J</t>
  </si>
  <si>
    <t>PRINTER HEAD 9490010194 H16 7 3ML</t>
  </si>
  <si>
    <t>SM.016.001437.06.2K</t>
  </si>
  <si>
    <t>PROFILE-G/I (G-RAIL) C-TYPE(400109)</t>
  </si>
  <si>
    <t>SM.016.001438.06.2K</t>
  </si>
  <si>
    <t>PROFILE GI (TYPE-B) 400111 (G-RAIL)</t>
  </si>
  <si>
    <t>SM.016.001442.01.40</t>
  </si>
  <si>
    <t>TOP ARMOUR POS.29 (1X 16-29)</t>
  </si>
  <si>
    <t>SM.016.001517.06.2E</t>
  </si>
  <si>
    <t>ROUND PIPE 2321202730</t>
  </si>
  <si>
    <t>SM.016.001558.05.1C</t>
  </si>
  <si>
    <t>SCRAPER CAM16105003-CAF17505006</t>
  </si>
  <si>
    <t>SM.016.001623.05.1H</t>
  </si>
  <si>
    <t>SCREW-SMU 22002900</t>
  </si>
  <si>
    <t>SM.016.001635.01.39</t>
  </si>
  <si>
    <t>SEDE REGISTRABILE (MODX36 POS 06)</t>
  </si>
  <si>
    <t>SM.016.001677.02.58</t>
  </si>
  <si>
    <t>SLEAVE &amp; SPOOL SET 031139000</t>
  </si>
  <si>
    <t>SPAZZOLA-ABRASIVE D=510/BRUSH</t>
  </si>
  <si>
    <t>SM.016.001930.01.9T</t>
  </si>
  <si>
    <t>SUPPORT PCS 1</t>
  </si>
  <si>
    <t>SM.016.002004.01.40</t>
  </si>
  <si>
    <t>GRATE SUPPORT POS.23 (1X16-23)</t>
  </si>
  <si>
    <t>SM.016.002084.05.89</t>
  </si>
  <si>
    <t>UNIT-04960631</t>
  </si>
  <si>
    <t>UPPER HALF BODY 8CRP80012</t>
  </si>
  <si>
    <t>SM.016.002106.01.39</t>
  </si>
  <si>
    <t>WALLS DX ( X.36 POS 12)</t>
  </si>
  <si>
    <t>SM.016.002132.01.39</t>
  </si>
  <si>
    <t>WEDGE (MODX36 POS 15)</t>
  </si>
  <si>
    <t>SM.016.002457.03.62</t>
  </si>
  <si>
    <t>DISTRIBUTOR-(DPM41501000)</t>
  </si>
  <si>
    <t>SM.016.002477.00.00</t>
  </si>
  <si>
    <t>MAGNETIC ROD FOR MAGNETIC TRAP</t>
  </si>
  <si>
    <t>SM.016.002480.02.47</t>
  </si>
  <si>
    <t>REFACTORY MTD34001015 3.3/16 420MM</t>
  </si>
  <si>
    <t>SM.016.002536.05.00</t>
  </si>
  <si>
    <t>MIXER</t>
  </si>
  <si>
    <t>SM.016.002560.00.00</t>
  </si>
  <si>
    <t>SUPPORT SP14501080</t>
  </si>
  <si>
    <t>SM.016.002561.00.00</t>
  </si>
  <si>
    <t>SUPPORT SP14501081</t>
  </si>
  <si>
    <t>SM.016.002562.00.00</t>
  </si>
  <si>
    <t>TIE ROD SP14502030</t>
  </si>
  <si>
    <t>SM.016.002563.00.00</t>
  </si>
  <si>
    <t>TIE ROD SP14502031</t>
  </si>
  <si>
    <t>SM.016.002655.05.1A</t>
  </si>
  <si>
    <t>VARIABLE SPEED UNIT 65.03.065 1 12</t>
  </si>
  <si>
    <t>SM.016.002692.07.AA</t>
  </si>
  <si>
    <t>SPIRAL SPRING RK-240-13-0027</t>
  </si>
  <si>
    <t>MOULDING-(2PR00018)</t>
  </si>
  <si>
    <t>SM.016.002704.01.39</t>
  </si>
  <si>
    <t>SIDE ARMOUR RIGHT SIDE POS.12 (35K-12DX)</t>
  </si>
  <si>
    <t>SM.016.002726.05.1F</t>
  </si>
  <si>
    <t>MAGNETIC BLOCK 600X300 PH 2500</t>
  </si>
  <si>
    <t>SM.016.002732.08.00</t>
  </si>
  <si>
    <t>SUPPORT-(8326283305)</t>
  </si>
  <si>
    <t>SM.016.002800.09.4Y</t>
  </si>
  <si>
    <t>GUIDE STRIP-(TBSY4-02A)</t>
  </si>
  <si>
    <t>SM.016.002807.09.4Y</t>
  </si>
  <si>
    <t>SUPPORT CHANNEL (TBS71A5-01V10)</t>
  </si>
  <si>
    <t>SM.016.002847.05.9I</t>
  </si>
  <si>
    <t>STOP-(SMU15010900)</t>
  </si>
  <si>
    <t>SM.016.002881.09.5I</t>
  </si>
  <si>
    <t>THREADED BLOCK-(8322302301)</t>
  </si>
  <si>
    <t>SM.016.002883.09.5I</t>
  </si>
  <si>
    <t>PROFILE GUIDE -(8322905700)</t>
  </si>
  <si>
    <t>SM.016.002916.08.5M</t>
  </si>
  <si>
    <t>BLADE-(M3 12006)</t>
  </si>
  <si>
    <t>SM.016.002925.08.5M</t>
  </si>
  <si>
    <t>WELDING BLADE-(M3 11001)</t>
  </si>
  <si>
    <t>SM.016.002966.05.00</t>
  </si>
  <si>
    <t>MAGNETIC DIE THICKNESSOR 600x600</t>
  </si>
  <si>
    <t>SM.016.003031.08.AM</t>
  </si>
  <si>
    <t>BAND-(8125094400)</t>
  </si>
  <si>
    <t>SM.016.003034.05.86</t>
  </si>
  <si>
    <t>CAP-(PH25003005)</t>
  </si>
  <si>
    <t>SM.016.003070.07.3K</t>
  </si>
  <si>
    <t>HAND GUARD-(D505267112)</t>
  </si>
  <si>
    <t>SM.016.003072.07.3K</t>
  </si>
  <si>
    <t>SUPPORT-(D505267110)</t>
  </si>
  <si>
    <t>SM.016.003073.07.3K</t>
  </si>
  <si>
    <t>SLIDING BLOCK-(D455151223)</t>
  </si>
  <si>
    <t>SUPPORT-(2365002231)</t>
  </si>
  <si>
    <t>SM.016.003108.07.AA</t>
  </si>
  <si>
    <t>PLATE-(212B060136)</t>
  </si>
  <si>
    <t>SM.016.003111.07.AA</t>
  </si>
  <si>
    <t>CAP-(D505213052)</t>
  </si>
  <si>
    <t>SM.016.003117.07.AA</t>
  </si>
  <si>
    <t>SUPPORT-(D505267111)</t>
  </si>
  <si>
    <t>SM.016.003120.07.AA</t>
  </si>
  <si>
    <t>SLIDING BLOCK-(D455151125)</t>
  </si>
  <si>
    <t>SM.016.003184.08.4S</t>
  </si>
  <si>
    <t>CLAMP-(M3 12002)</t>
  </si>
  <si>
    <t>SM.016.003186.08.4S</t>
  </si>
  <si>
    <t>CLAMP-(M3 12010)</t>
  </si>
  <si>
    <t>SM.016.003244.08.AM</t>
  </si>
  <si>
    <t>GUIDE-(8125101701)</t>
  </si>
  <si>
    <t>SUP.FRAME FOR LOW BLADE CYL.460-(PJKF-SSRB/465)</t>
  </si>
  <si>
    <t>SM.016.003275.02.47</t>
  </si>
  <si>
    <t>ECCENTRIC-(MTD34004003)</t>
  </si>
  <si>
    <t>SM.016.003339.02.47</t>
  </si>
  <si>
    <t>GRIPPER-(5250148)</t>
  </si>
  <si>
    <t>SM.016.003340.02.47</t>
  </si>
  <si>
    <t>GRIPPER-(5250149)</t>
  </si>
  <si>
    <t>SM.016.003362.00.00</t>
  </si>
  <si>
    <t>ROLLER COATING 26x33x3.5MM SPLINE</t>
  </si>
  <si>
    <t>SM.016.003376.00.00</t>
  </si>
  <si>
    <t>BASE &amp; PLATE KIT</t>
  </si>
  <si>
    <t>SM.016.003466.08.4J</t>
  </si>
  <si>
    <t>SUPPORT-(8326282401)</t>
  </si>
  <si>
    <t>SM.016.003470.07.AA</t>
  </si>
  <si>
    <t>ROLLER SUPPORTING (STD)-(RK-240-13-5013)</t>
  </si>
  <si>
    <t>SM.016.003471.07.AA</t>
  </si>
  <si>
    <t>ROLLER SUPPORTING (STD)-(RK-240-13-5012)</t>
  </si>
  <si>
    <t>SM.016.003472.07.AA</t>
  </si>
  <si>
    <t>ROLLER SUPPORTING (SDSP)-(RK-240-13-5010)</t>
  </si>
  <si>
    <t>SM.016.003510.09.4Y</t>
  </si>
  <si>
    <t>GUIDE COPPER SLEEVE-(TBK650Z-03)</t>
  </si>
  <si>
    <t>SM.016.003555.08.4S</t>
  </si>
  <si>
    <t>FORK-(M3 08008)</t>
  </si>
  <si>
    <t>SM.016.003568.02.47</t>
  </si>
  <si>
    <t>SPACER-(MTD34001008)</t>
  </si>
  <si>
    <t>SM.016.003578.05.85</t>
  </si>
  <si>
    <t>GUIDE-(CAM15604009)</t>
  </si>
  <si>
    <t>SM.016.003579.05.85</t>
  </si>
  <si>
    <t>GUIDE-(CAM15604010)</t>
  </si>
  <si>
    <t>SM.016.003598.08.AM</t>
  </si>
  <si>
    <t>PIPE BASE -(9643108008)</t>
  </si>
  <si>
    <t>SM.016.003599.08.AM</t>
  </si>
  <si>
    <t>PIPE BASE -(9643108007)</t>
  </si>
  <si>
    <t>SM.016.003626.05.00</t>
  </si>
  <si>
    <t>FLOATING GRID 600 X 1200 - 01 CAV</t>
  </si>
  <si>
    <t>SM.016.003627.05.87</t>
  </si>
  <si>
    <t>FEELER PH25202902</t>
  </si>
  <si>
    <t>SM.016.003725.09.4Y</t>
  </si>
  <si>
    <t>DISC SQUARING HEAD ONLY -(KD356B.00)</t>
  </si>
  <si>
    <t>SM.016.003748.05.AP</t>
  </si>
  <si>
    <t>FLEXIBLE COUPLING-(03324094)</t>
  </si>
  <si>
    <t>SM.016.003759.05.AP</t>
  </si>
  <si>
    <t>POCKET-(05220157)</t>
  </si>
  <si>
    <t>SM.016.003760.05.AP</t>
  </si>
  <si>
    <t>PILOT-(05580261)</t>
  </si>
  <si>
    <t>SM.016.003802.05.00</t>
  </si>
  <si>
    <t>FLOATING GRID 600X600 , 1 CAVITY</t>
  </si>
  <si>
    <t>SM.016.003805.09.AU</t>
  </si>
  <si>
    <t>DIVIDER JAW-(C8328094800)</t>
  </si>
  <si>
    <t>SM.016.003806.09.AU</t>
  </si>
  <si>
    <t>BALL JOINT-(C9254320000)</t>
  </si>
  <si>
    <t>SM.016.003808.09.AU</t>
  </si>
  <si>
    <t>SUCTION CUP-(90005158)</t>
  </si>
  <si>
    <t>SM.016.003817.09.AU</t>
  </si>
  <si>
    <t>SUCTION CUP-(90004317)</t>
  </si>
  <si>
    <t>SM.016.003881.09.AW</t>
  </si>
  <si>
    <t>DRIVEN SHAFT SLEEVE-(TBSC8B-02)</t>
  </si>
  <si>
    <t>SM.016.003942.09.4Z</t>
  </si>
  <si>
    <t>WATER ABSORB ROLLER , 1290X1430X15MM</t>
  </si>
  <si>
    <t>SM.016.003974.09.AU</t>
  </si>
  <si>
    <t>SUPPORT-(C9260000126)</t>
  </si>
  <si>
    <t>SM.016.003975.09.AU</t>
  </si>
  <si>
    <t>SUPPORT-(9262000132)</t>
  </si>
  <si>
    <t>SM.016.004035.05.AT</t>
  </si>
  <si>
    <t>MOULDING-(41.03.940)</t>
  </si>
  <si>
    <t>SM.016.004055.09.5I</t>
  </si>
  <si>
    <t>SLEEVE-(8116034200)</t>
  </si>
  <si>
    <t>SM.016.004160.09.4Y</t>
  </si>
  <si>
    <t>COMPLETE UPPER SECTION HEAD-(TPSA)</t>
  </si>
  <si>
    <t>SM.016.004199.02.55</t>
  </si>
  <si>
    <t>MANIFOLD, DISCHARGE 3? BSP TAPERED - (518-144-156E)</t>
  </si>
  <si>
    <t>SM.016.004202.03.62</t>
  </si>
  <si>
    <t>DISTRIBUTER - (DPM41501800)</t>
  </si>
  <si>
    <t>SM.016.004204.08.AM</t>
  </si>
  <si>
    <t>PALLET PICK- UP APPER ARM - (8320703801)</t>
  </si>
  <si>
    <t>SM.016.004215.09.AU</t>
  </si>
  <si>
    <t>GLUE GUN - (90008953)</t>
  </si>
  <si>
    <t>SM.016.004217.09.AU</t>
  </si>
  <si>
    <t>GLUE HOSE - (9999960035)</t>
  </si>
  <si>
    <t>SM.016.004220.07.AA</t>
  </si>
  <si>
    <t>ROLLER SUPPORTING (STD) - (RK-240-13-5009)</t>
  </si>
  <si>
    <t>SM.016.004221.07.AA</t>
  </si>
  <si>
    <t>ROLLER SUPPORTING (STD) - (RK-200-13-7200)</t>
  </si>
  <si>
    <t>SM.016.004222.07.AA</t>
  </si>
  <si>
    <t>SOCKET - (RK-240-13-0338)</t>
  </si>
  <si>
    <t>SM.016.004224.07.AA</t>
  </si>
  <si>
    <t>ROLLER SUPPORTING (SDSP) - (RK-200-13-7201)</t>
  </si>
  <si>
    <t>SM.016.004258.06.2F</t>
  </si>
  <si>
    <t>SINGLE BLOCK - (2MB04006)</t>
  </si>
  <si>
    <t>SM.016.004260.01.40</t>
  </si>
  <si>
    <t>SUPPORT POS.7 - (IX-7)</t>
  </si>
  <si>
    <t>SM.016.004263.01.9A</t>
  </si>
  <si>
    <t>SIDE ARMOUR LEFT SIDE POS.12 - (35K-12SX)</t>
  </si>
  <si>
    <t>SM.016.004290.09.98</t>
  </si>
  <si>
    <t>DUCT - (EVA90206900)</t>
  </si>
  <si>
    <t>SM.016.004321.05.AT</t>
  </si>
  <si>
    <t>ARM (EVA99304025)</t>
  </si>
  <si>
    <t>SM.016.004325.05.AT</t>
  </si>
  <si>
    <t>STRUCTURE (EVA99305014)</t>
  </si>
  <si>
    <t>SM.016.004326.05.AP</t>
  </si>
  <si>
    <t>SLIDE PLATE (DCL17502111)</t>
  </si>
  <si>
    <t>SM.016.004381.09.AU</t>
  </si>
  <si>
    <t>SUPPORT-(8327602100)</t>
  </si>
  <si>
    <t>SM.016.004389.09.AU</t>
  </si>
  <si>
    <t>GUIDE-(5572416207)</t>
  </si>
  <si>
    <t>SM.016.004398.06.2F</t>
  </si>
  <si>
    <t>ALB L=780 X TRASP CURV COD.25X90-(13.09.030)</t>
  </si>
  <si>
    <t>SM.016.004400.06.2F</t>
  </si>
  <si>
    <t>RULLO CONICO RM.750 01/04 MORBIDO-(05.66.173)</t>
  </si>
  <si>
    <t>SM.016.004480.09.AU</t>
  </si>
  <si>
    <t>CARRIAGE-(90000911)</t>
  </si>
  <si>
    <t>SM.016.004481.09.AU</t>
  </si>
  <si>
    <t>PROFILE-(90000536)</t>
  </si>
  <si>
    <t>SM.016.004482.09.AU</t>
  </si>
  <si>
    <t>GUIDE-(9262000222)</t>
  </si>
  <si>
    <t>SM.016.004518.09.4Y</t>
  </si>
  <si>
    <t>SQUARING HEAD COMPLETE SET-(KD358H)</t>
  </si>
  <si>
    <t>SM.016.004526.09.4Y</t>
  </si>
  <si>
    <t>KD358F-04A Head base-(200448830)</t>
  </si>
  <si>
    <t>SM.016.004530.09.4Y</t>
  </si>
  <si>
    <t>Pneumatic chamfering head complete-(KD379)</t>
  </si>
  <si>
    <t>SM.016.004542.09.4Y</t>
  </si>
  <si>
    <t>LINEAR GUIDE RAIL-HIWIN-(HSR25+1420L)</t>
  </si>
  <si>
    <t>SM.016.004545.09.4Y</t>
  </si>
  <si>
    <t>ADJUSTING PLATE-(TPSA-05A.0)</t>
  </si>
  <si>
    <t>SM.016.004596.07.BH</t>
  </si>
  <si>
    <t>GUIDE (PM105-0434)</t>
  </si>
  <si>
    <t>SM.016.004624.08.AM</t>
  </si>
  <si>
    <t>KIT ANTICOPPIA X CARRELLO PORTALE (C5850000845)</t>
  </si>
  <si>
    <t>SM.016.004635.08.AM</t>
  </si>
  <si>
    <t>EXTRUDED GUIDE L=780 (9262000066)</t>
  </si>
  <si>
    <t>SM.016.004638.07.AA</t>
  </si>
  <si>
    <t>SLIDING BLOCK (D45515072)</t>
  </si>
  <si>
    <t>SM.016.004648.09.4Y</t>
  </si>
  <si>
    <t>SCREW ROD UNIT (TBSK14.01V10BJ)</t>
  </si>
  <si>
    <t>SM.016.004649.09.4Y</t>
  </si>
  <si>
    <t>SCREW ROD UNIT (TBSK14.01V12BJ)</t>
  </si>
  <si>
    <t>SM.016.004681.09.4Y</t>
  </si>
  <si>
    <t>PRESS BEAM (75 belt) (K03510SHNC.06(75).01)</t>
  </si>
  <si>
    <t>SM.016.004685.09.4Y</t>
  </si>
  <si>
    <t>MOUNTING PLATE (TBSZ1C.01AV10)</t>
  </si>
  <si>
    <t>SM.016.004687.09.4Y</t>
  </si>
  <si>
    <t>MOUNTING PLATE (TBSZ3D.01A)</t>
  </si>
  <si>
    <t>SM.016.004736.09.4Y</t>
  </si>
  <si>
    <t>GUIDE BASE (TBSK4-14)</t>
  </si>
  <si>
    <t>SM.016.004742.02.47</t>
  </si>
  <si>
    <t>SUPPORT (MTD34001127)</t>
  </si>
  <si>
    <t>SM.016.004756.08.AU</t>
  </si>
  <si>
    <t>SUPPORT BRACKET (80025004)</t>
  </si>
  <si>
    <t>SM.016.004761.08.AU</t>
  </si>
  <si>
    <t>ROLLER CONTROL HANDLE L = 166.5 H = 105.5 (8149024500)</t>
  </si>
  <si>
    <t>SM.016.004769.01.42</t>
  </si>
  <si>
    <t>SHAFT (W12-1)</t>
  </si>
  <si>
    <t>SM.016.004770.01.42</t>
  </si>
  <si>
    <t>BENCH SUPPORT (BLOCKED) W12-13</t>
  </si>
  <si>
    <t>SM.016.004771.01.42</t>
  </si>
  <si>
    <t>FLAG SUPPORT (FREE) W12-19</t>
  </si>
  <si>
    <t>SM.016.004772.01.42</t>
  </si>
  <si>
    <t>FLANGE SUPPORT COVER (FREE) W12-20</t>
  </si>
  <si>
    <t>SM.016.004773.01.42</t>
  </si>
  <si>
    <t>FLAG SUPPORT (BLOCKED) W12-22</t>
  </si>
  <si>
    <t>SM.016.004774.01.42</t>
  </si>
  <si>
    <t>FLANGE SUPPORT COVER (BLOCKED) W12-24</t>
  </si>
  <si>
    <t>SM.016.004775.01.42</t>
  </si>
  <si>
    <t>BENCH SUPPORT (FREE) W12-25 W12-25</t>
  </si>
  <si>
    <t>SM.016.004777.08.AM</t>
  </si>
  <si>
    <t>PIPE BASE 6 (MONOSTABLE) 9643108009</t>
  </si>
  <si>
    <t>POLYZENE BLACK PROFILE (ROUGH) 20x16x3000mm FOR BELT 12MM</t>
  </si>
  <si>
    <t>LM</t>
  </si>
  <si>
    <t>SM.016.005010.03.74</t>
  </si>
  <si>
    <t>GROUP SCREEN CARRYING RING 8QGRR0136 VLB1200 2X (POS 20)</t>
  </si>
  <si>
    <t>SM.016.005253.01.39</t>
  </si>
  <si>
    <t>WALLS SX ( X.36 POS 12)</t>
  </si>
  <si>
    <t>SM.016.005317.08.AM</t>
  </si>
  <si>
    <t>GRIPPER-(80028742)</t>
  </si>
  <si>
    <t>SM.016.005336.09.AF</t>
  </si>
  <si>
    <t>Squaring head complete set (Without motor)-(KD358H.00)</t>
  </si>
  <si>
    <t>SM.016.005339.08.AM</t>
  </si>
  <si>
    <t>SHEET OF 22 MM (MZZ018)-(90012264)</t>
  </si>
  <si>
    <t>SM.016.005342.08.AM</t>
  </si>
  <si>
    <t>NYLON CURVE (MPT008)-(9999150166)</t>
  </si>
  <si>
    <t>SM.016.005346.09.AU</t>
  </si>
  <si>
    <t>PROFILE-(9260000120)</t>
  </si>
  <si>
    <t>SM.016.005354.08.4S</t>
  </si>
  <si>
    <t>LOWER DUCT BLOCK W=12-(C9999150080)</t>
  </si>
  <si>
    <t>SM.016.005370.08.AM</t>
  </si>
  <si>
    <t>PALLET GRIPPER REAR PLATE -(8326327502)</t>
  </si>
  <si>
    <t>SM.016.005381.09.4Y</t>
  </si>
  <si>
    <t>Worm case lift unit TGSG800A.04-(200315013)</t>
  </si>
  <si>
    <t>SM.016.005398.11.24</t>
  </si>
  <si>
    <t>LINNING-(MTD12001045)</t>
  </si>
  <si>
    <t>SM.016.005399.11.24</t>
  </si>
  <si>
    <t>COUPLER-(2102135)</t>
  </si>
  <si>
    <t>SM.016.005408.00.00</t>
  </si>
  <si>
    <t>ROLLER COATING 48X62X7MM PLAIN</t>
  </si>
  <si>
    <t>SM.016.005413.07.AA</t>
  </si>
  <si>
    <t>SUPPORT-(RK-200-13-7185)</t>
  </si>
  <si>
    <t>SM.016.005414.07.AA</t>
  </si>
  <si>
    <t>SUPPORT-(RK-200-13-7187)</t>
  </si>
  <si>
    <t>SM.016.005416.07.AA</t>
  </si>
  <si>
    <t>SUPPORT-(CC11570028)</t>
  </si>
  <si>
    <t>SM.016.005435.05.AP</t>
  </si>
  <si>
    <t>SUPPORT DCL 17506006</t>
  </si>
  <si>
    <t>SM.016.005437.05.AP</t>
  </si>
  <si>
    <t>SUPPORT DCL 17506007</t>
  </si>
  <si>
    <t>SM.016.005440.03.62</t>
  </si>
  <si>
    <t>RADIATOR-PPB 13003003</t>
  </si>
  <si>
    <t>SM.016.005450.06.2E</t>
  </si>
  <si>
    <t>ANGLE PIECE (SP420070476)</t>
  </si>
  <si>
    <t>SM.016.005455.07.BH</t>
  </si>
  <si>
    <t>GUIDE POLYZENE (PM105-0075)</t>
  </si>
  <si>
    <t>SM.016.005461.07.BH</t>
  </si>
  <si>
    <t>EXTRUDED (PM073-0556)</t>
  </si>
  <si>
    <t>FITTING (MTD34001098)</t>
  </si>
  <si>
    <t>SM.016.005498.05.AP</t>
  </si>
  <si>
    <t>LOGIC ELEMENT (5552894)</t>
  </si>
  <si>
    <t>SM.016.005509.02.47</t>
  </si>
  <si>
    <t>COUPLING (3324020)</t>
  </si>
  <si>
    <t>SM.016.005519.06.2C</t>
  </si>
  <si>
    <t>JOINT (05.70.124)</t>
  </si>
  <si>
    <t>SM.016.005522.09.4Y</t>
  </si>
  <si>
    <t>DRIVE (LTGB(13).04)</t>
  </si>
  <si>
    <t>SM.016.005533.09.4Y</t>
  </si>
  <si>
    <t>BEARING PLATE 1 (ceramic bottom plate) K0168G.01-02X6</t>
  </si>
  <si>
    <t>SM.016.005534.09.4Y</t>
  </si>
  <si>
    <t>BEARING PLATE 2( (ceramic bottom plate) K0168G.01-03X6</t>
  </si>
  <si>
    <t>SM.016.005542.09.4Y</t>
  </si>
  <si>
    <t>FIX DISC T2GL-151R</t>
  </si>
  <si>
    <t>SM.016.005560.09.4Y</t>
  </si>
  <si>
    <t>SCREW ROD TGSC800G.08-07</t>
  </si>
  <si>
    <t>SM.016.005564.09.4Y</t>
  </si>
  <si>
    <t>DRIVE UNIT TGSB800A.01.03A</t>
  </si>
  <si>
    <t>SM.016.005569.09.4Y</t>
  </si>
  <si>
    <t>SLIDE BLOCK UNIT T2GX7V12A.07</t>
  </si>
  <si>
    <t>SM.016.005586.05.AP</t>
  </si>
  <si>
    <t>HONEY COMB FLOATING GRID FOR SEMI-ENTRY MOULD 60X60/2 CAV</t>
  </si>
  <si>
    <t>SM.016.005601.05.AP</t>
  </si>
  <si>
    <t>GUIDE (DCL17508114)</t>
  </si>
  <si>
    <t>SM.016.005604.05.AP</t>
  </si>
  <si>
    <t>LOWER FORK (DCL17505903)</t>
  </si>
  <si>
    <t>SM.016.005606.02.58</t>
  </si>
  <si>
    <t>CHAMBER, INNER (196.168.157)</t>
  </si>
  <si>
    <t>SM.016.005610.09.4Y</t>
  </si>
  <si>
    <t>UNLOADING BEARING PLATE (K0256C.01.01-01X6)</t>
  </si>
  <si>
    <t>SM.016.005611.09.4Y</t>
  </si>
  <si>
    <t>MIDDLE BEARING PLATE (K0256C.01.01-02X6)</t>
  </si>
  <si>
    <t>SM.016.005623.09.4Y</t>
  </si>
  <si>
    <t>SEMI COUPLER K1036B.02-08 (200346265)</t>
  </si>
  <si>
    <t>SM.016.005636.07.BH</t>
  </si>
  <si>
    <t>Extruded (PM073-2201)</t>
  </si>
  <si>
    <t>SM.016.005637.07.BH</t>
  </si>
  <si>
    <t>Extruded (PM073-3085)</t>
  </si>
  <si>
    <t>SM.016.005647.07.BH</t>
  </si>
  <si>
    <t>EXTRUDED (PM073-1128)</t>
  </si>
  <si>
    <t>SM.016.005649.07.BH</t>
  </si>
  <si>
    <t>ROLLER (PM177-0004)</t>
  </si>
  <si>
    <t>SM.016.005653.07.BH</t>
  </si>
  <si>
    <t>SHEET METAL (PM113-0596)</t>
  </si>
  <si>
    <t>SM.016.005664.05.AP</t>
  </si>
  <si>
    <t>YOKE (DCL17505055)</t>
  </si>
  <si>
    <t>SM.016.005666.08.AM</t>
  </si>
  <si>
    <t>WELDING BLADE (C9999150024)</t>
  </si>
  <si>
    <t>SM.016.005668.09.4Y</t>
  </si>
  <si>
    <t>FILTER BAG 630X1000</t>
  </si>
  <si>
    <t>SM.016.005669.09.4Y</t>
  </si>
  <si>
    <t>BLOWER FOR LUXCO COATING MACHINE</t>
  </si>
  <si>
    <t>SM.016.005670.02.47</t>
  </si>
  <si>
    <t>SUPPORT MTD34001004</t>
  </si>
  <si>
    <t>SM.016.005671.02.47</t>
  </si>
  <si>
    <t>CAP MTD34001053</t>
  </si>
  <si>
    <t>SM.016.005674.05.AP</t>
  </si>
  <si>
    <t>GUIDE (DCL17502009)</t>
  </si>
  <si>
    <t>SM.016.005675.05.AP</t>
  </si>
  <si>
    <t>FRONT GUIDE (DCL24502136)</t>
  </si>
  <si>
    <t>SM.016.005676.05.AP</t>
  </si>
  <si>
    <t>GUIDE (DCL17502007)</t>
  </si>
  <si>
    <t>SM.016.005677.05.AP</t>
  </si>
  <si>
    <t>GUIDE DCL17502008)</t>
  </si>
  <si>
    <t>SM.016.005678.05.AP</t>
  </si>
  <si>
    <t>GUIDE (DCL17502083)</t>
  </si>
  <si>
    <t>SM.016.005684.05.AP</t>
  </si>
  <si>
    <t>DIE LOCK-UNLOCK (PH25310914)</t>
  </si>
  <si>
    <t>SM.016.005685.07.BH</t>
  </si>
  <si>
    <t>FORK (PM085-0008)</t>
  </si>
  <si>
    <t>SM.016.006194.05.05</t>
  </si>
  <si>
    <t>COATED BODY MNV400 (X08000550101)</t>
  </si>
  <si>
    <t>SM.016.006206.08.AM</t>
  </si>
  <si>
    <t>GUIDE (8125052200)</t>
  </si>
  <si>
    <t>SM.016.006217.08.AM</t>
  </si>
  <si>
    <t>FORK M3 08008C (9999151593)</t>
  </si>
  <si>
    <t>SM.016.006227.07.BH</t>
  </si>
  <si>
    <t>ROLLER SUPPORTING (STD) RK-200-13-7186</t>
  </si>
  <si>
    <t>SM.016.006229.07.BH</t>
  </si>
  <si>
    <t>ROLLER SUPPORTING (STD) RK-200-13-5080</t>
  </si>
  <si>
    <t>SM.016.006235.07.BH</t>
  </si>
  <si>
    <t>ROLLER SUPPORTING (STD) (RK-200-13-5080)</t>
  </si>
  <si>
    <t>SM.016.006245.07.3G</t>
  </si>
  <si>
    <t>MOTOR (CC14080003)</t>
  </si>
  <si>
    <t>SM.016.006271.08.4S</t>
  </si>
  <si>
    <t>CENTRAL CLAMP M3 GR00043</t>
  </si>
  <si>
    <t>SM.016.006272.08.4S</t>
  </si>
  <si>
    <t>CLAMP LEFT M3 GR00042</t>
  </si>
  <si>
    <t>SM.016.006273.08.4S</t>
  </si>
  <si>
    <t>CLAMP RIGHT M3 GR00044 (C9999150052)</t>
  </si>
  <si>
    <t>SM.016.006279.08.4S</t>
  </si>
  <si>
    <t>GEAR AXIS M3 GR00671 (90021449)</t>
  </si>
  <si>
    <t>SM.016.006303.07.AA</t>
  </si>
  <si>
    <t>SUPPORT (RK-200-13-5011)</t>
  </si>
  <si>
    <t>SM.016.006305.07.BH</t>
  </si>
  <si>
    <t>GUARD (PM045-0192)</t>
  </si>
  <si>
    <t>SM.016.006307.07.BH</t>
  </si>
  <si>
    <t>PLATE (PM145-0576)</t>
  </si>
  <si>
    <t>SM.016.006324.07.BH</t>
  </si>
  <si>
    <t>SHEET METAL (PM113-1927)</t>
  </si>
  <si>
    <t>SM.016.006334.07.BH</t>
  </si>
  <si>
    <t>SHEET METAL (PM113-0256)</t>
  </si>
  <si>
    <t>SM.016.006336.07.BH</t>
  </si>
  <si>
    <t>SHEET METAL (PM113-0009)</t>
  </si>
  <si>
    <t>SPACER (MTD34003144)</t>
  </si>
  <si>
    <t>SM.016.006343.02.47</t>
  </si>
  <si>
    <t>BROACHING MACH (6555064)</t>
  </si>
  <si>
    <t>SM.016.006346.05.AT</t>
  </si>
  <si>
    <t>SCREW (EVA99304029)</t>
  </si>
  <si>
    <t>SM.016.006359.05.AP</t>
  </si>
  <si>
    <t>EJECTOR (DCL17505022)</t>
  </si>
  <si>
    <t>SM.016.006367.05.AP</t>
  </si>
  <si>
    <t>COVER (DCL17508071)</t>
  </si>
  <si>
    <t>SM.016.006380.05.98</t>
  </si>
  <si>
    <t>LEVER (EVA90204080)</t>
  </si>
  <si>
    <t>SM.016.006383.05.98</t>
  </si>
  <si>
    <t>CAM (EVA27004058)</t>
  </si>
  <si>
    <t>SM.016.006387.05.98</t>
  </si>
  <si>
    <t>STRUCTURE (EVA90205001)</t>
  </si>
  <si>
    <t>SM.016.006390.08.AM</t>
  </si>
  <si>
    <t>MACHINED THREADED BAR (8131500401)</t>
  </si>
  <si>
    <t>SM.016.006391.08.AM</t>
  </si>
  <si>
    <t>MACHINED THREADED BAR (8131500501)</t>
  </si>
  <si>
    <t>SM.016.006392.08.AM</t>
  </si>
  <si>
    <t>MOTOR UNIT BOLT SECTION EQUIPMENT (5578191401)</t>
  </si>
  <si>
    <t>SM.016.006395.08.AM</t>
  </si>
  <si>
    <t>CARRIAGE FOR LINEAR GUIDE (9262000071)</t>
  </si>
  <si>
    <t>SM.016.006401.08.AM</t>
  </si>
  <si>
    <t>RAIL (90010168)</t>
  </si>
  <si>
    <t>SM.016.006407.08.AM</t>
  </si>
  <si>
    <t>SIDE 1206.5X134X112.5 (80029781)</t>
  </si>
  <si>
    <t>SM.016.006408.08.AM</t>
  </si>
  <si>
    <t>SIDE 1206.5X134X112.5 (80029820)</t>
  </si>
  <si>
    <t>SM.016.006409.08.AM</t>
  </si>
  <si>
    <t>RAIL FOR LINEAR GUIDE THK SHS 25 L = 1960 (C9262000128)</t>
  </si>
  <si>
    <t>SM.016.006414.08.AM</t>
  </si>
  <si>
    <t>BEARING SLIDE TRACK (C8321581100)</t>
  </si>
  <si>
    <t>SM.016.006419.08.AM</t>
  </si>
  <si>
    <t>GUIDE (90000535)</t>
  </si>
  <si>
    <t>SM.016.006475.00.00</t>
  </si>
  <si>
    <t>ROLLER COATING 27x32x3 MM PLAIN</t>
  </si>
  <si>
    <t>SM.016.006485.08.AM</t>
  </si>
  <si>
    <t>RAIL (8125119200)</t>
  </si>
  <si>
    <t>SM.016.006554.02.47</t>
  </si>
  <si>
    <t>SUPPORT (MTD34003128)</t>
  </si>
  <si>
    <t>SM.016.006559.05.AP</t>
  </si>
  <si>
    <t>POLYURETHANE PIPE WITH STEEL WIRE D.120MM</t>
  </si>
  <si>
    <t>SM.016.006588.02.47</t>
  </si>
  <si>
    <t>PLUG (MTD34001121)</t>
  </si>
  <si>
    <t>SM.016.006590.02.47</t>
  </si>
  <si>
    <t>PLUG (MTD34001040)</t>
  </si>
  <si>
    <t>GRID TYPE 2L=1130</t>
  </si>
  <si>
    <t>SM.016.006594.02.47</t>
  </si>
  <si>
    <t>FLANGE (MTD34001129)</t>
  </si>
  <si>
    <t>SM.016.006595.02.47</t>
  </si>
  <si>
    <t>SUPPORT (MTD34004066)</t>
  </si>
  <si>
    <t>SM.016.006615.05.AP</t>
  </si>
  <si>
    <t>CHAIN (02308632)</t>
  </si>
  <si>
    <t>SM.016.006632.05.AP</t>
  </si>
  <si>
    <t>BAR (DCL17502109)</t>
  </si>
  <si>
    <t>SPACER PLATE SPINGUM (19.40.001)</t>
  </si>
  <si>
    <t>SM.016.006662.08.2N</t>
  </si>
  <si>
    <t>PIASTRA 120X10X200 (8311131600)</t>
  </si>
  <si>
    <t>SM.016.006781.06.2C</t>
  </si>
  <si>
    <t>ADAPTER INOX 17X300 (51861240190)</t>
  </si>
  <si>
    <t>SM.016.006826.09.4Y</t>
  </si>
  <si>
    <t>PNEUMATIC SYSTEM TPSA.02B</t>
  </si>
  <si>
    <t>SM.016.006839.03.62</t>
  </si>
  <si>
    <t>ACCUMULATORE (PPB3001001)</t>
  </si>
  <si>
    <t>SM.016.006856.09.4Y</t>
  </si>
  <si>
    <t>BEARING PLATE 1 K0158G.01-02X6 (ceramic bottom plate)</t>
  </si>
  <si>
    <t>SM.016.006862.09.4Y</t>
  </si>
  <si>
    <t>BEARING BASE UNIT TGSG1000A.02.01</t>
  </si>
  <si>
    <t>SM.016.006872.05.AP</t>
  </si>
  <si>
    <t>LOGIC ELEMENT 5607504</t>
  </si>
  <si>
    <t>SM.016.006873.05.AP</t>
  </si>
  <si>
    <t>LOGIC ELEMENT 5607502</t>
  </si>
  <si>
    <t>SM.016.006874.05.AP</t>
  </si>
  <si>
    <t>LOGIC ELEMENT 5607503</t>
  </si>
  <si>
    <t>SM.016.006875.05.AP</t>
  </si>
  <si>
    <t>LOGIC ELEMENT 5607505</t>
  </si>
  <si>
    <t>HOSE (FILTER BAG) 088422.00</t>
  </si>
  <si>
    <t>SM.016.006897.03.75</t>
  </si>
  <si>
    <t>WASHING VALVE (Q-02217.01)</t>
  </si>
  <si>
    <t>SM.016.006902.05.AP</t>
  </si>
  <si>
    <t>COVER (5576921)</t>
  </si>
  <si>
    <t>SM.016.006905.05.AP</t>
  </si>
  <si>
    <t>HYDRAULIC CONNECTION (PH46606903)</t>
  </si>
  <si>
    <t>SM.016.006906.08.AM</t>
  </si>
  <si>
    <t>DOUBLE FALCON PLIERS 2006 (C2258233001)</t>
  </si>
  <si>
    <t>SM.016.006907.08.AM</t>
  </si>
  <si>
    <t>PORTAL SINGLE GRIPPER BS06 600-1250 (C2258233010)</t>
  </si>
  <si>
    <t>SM.016.006908.08.AM</t>
  </si>
  <si>
    <t>PALLET GRIPPER FALCON 2006 PICK-UP 1250-800 (C2258233009)</t>
  </si>
  <si>
    <r>
      <rPr>
        <rFont val="Calibri, sans-serif"/>
        <color rgb="FF000000"/>
        <sz val="11.0"/>
        <u/>
      </rPr>
      <t>SM</t>
    </r>
    <r>
      <rPr>
        <rFont val="Calibri, sans-serif"/>
        <color rgb="FF000000"/>
        <sz val="11.0"/>
        <u/>
      </rPr>
      <t>.016.006909.08.AM</t>
    </r>
  </si>
  <si>
    <t>DOUBLE CLAMP UNIT 1 PALLET PICK -UP FALCON HS (C2258130010)</t>
  </si>
  <si>
    <t>SM.016.006915.08.AM</t>
  </si>
  <si>
    <t>BRAKE PB1 0202 (90002639)</t>
  </si>
  <si>
    <t>SM.016.006924.02.47</t>
  </si>
  <si>
    <t>FLANGE (MTD34004007)</t>
  </si>
  <si>
    <t>SM.016.006925.02.47</t>
  </si>
  <si>
    <t>SCREW (MTD34004005)</t>
  </si>
  <si>
    <t>SM.016.006926.02.47</t>
  </si>
  <si>
    <t>SUPPORT-3 (MTD34003917)</t>
  </si>
  <si>
    <t>BOTTOM (MTD34003072)</t>
  </si>
  <si>
    <t>BOTTOM (MTD34003073)</t>
  </si>
  <si>
    <t>SM.016.006930.08.AU</t>
  </si>
  <si>
    <t>PLATE 40X25.5X10 (80060391)</t>
  </si>
  <si>
    <t>SM.016.006931.08.AU</t>
  </si>
  <si>
    <t>SUCTION CUP CLAMP (80060352)</t>
  </si>
  <si>
    <t>SM.016.006945.04.79</t>
  </si>
  <si>
    <t>VIBRO SCREEN UPPER FRAME (80410020)</t>
  </si>
  <si>
    <t>SM.016.006947.03.70</t>
  </si>
  <si>
    <t>SPROCKET ATM1569006</t>
  </si>
  <si>
    <t>SM.016.006974.08.4S</t>
  </si>
  <si>
    <t>WELDING BLADE LEVER M3 GR00038 (90019606)</t>
  </si>
  <si>
    <t>SM.016.006984.03.62</t>
  </si>
  <si>
    <t>SUPPORT ( PPB 3001018)</t>
  </si>
  <si>
    <t>SM.016.006985.02.47</t>
  </si>
  <si>
    <t>GRIPPER SUPPORT CAP (MTD34003050)</t>
  </si>
  <si>
    <t>SM.016.006986.08.AU</t>
  </si>
  <si>
    <t>FILTER UNIT OVEM-14/20 ET ( 90019321)</t>
  </si>
  <si>
    <t>SM.017.000082.05.84</t>
  </si>
  <si>
    <t>BUSHING-PE50032009</t>
  </si>
  <si>
    <t>SM.017.000089.05.86</t>
  </si>
  <si>
    <t>BUSHING-PH25104004 21/29</t>
  </si>
  <si>
    <t>SM.017.000371.05.89</t>
  </si>
  <si>
    <t>BUSH-6503208 3 14</t>
  </si>
  <si>
    <t>SM.017.000580.05.85</t>
  </si>
  <si>
    <t>BUSHING-(14903002)</t>
  </si>
  <si>
    <t>SM.017.000581.05.85</t>
  </si>
  <si>
    <t>BUSHING-(420160491)</t>
  </si>
  <si>
    <t>SM.017.000594.05.86</t>
  </si>
  <si>
    <t>BUSHING-(PH25003006)</t>
  </si>
  <si>
    <t>SM.017.000802.03.62</t>
  </si>
  <si>
    <t>BUSH CHROM-(PPB13001021C)</t>
  </si>
  <si>
    <t>SM.017.004025.05.AP</t>
  </si>
  <si>
    <t>BUSHING (PH46004010)</t>
  </si>
  <si>
    <t>SM.017.004029.05.AP</t>
  </si>
  <si>
    <t>BUSHING (PH62003017)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</si>
</sst>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u/>
      <color rgb="FF0000FF"/>
      <name val="Roboto"/>
    </font>
    <font>
      <u/>
      <sz val="11.0"/>
      <color rgb="FF000000"/>
      <name val="Calibri"/>
    </font>
    <font>
      <u/>
      <color rgb="FF1155CC"/>
      <name val="Roboto"/>
    </font>
    <font>
      <u/>
      <color rgb="FF0000FF"/>
      <name val="Roboto"/>
    </font>
    <font>
      <u/>
      <color rgb="FF1155CC"/>
      <name val="Roboto"/>
    </font>
    <font>
      <u/>
      <color rgb="FF434343"/>
      <name val="Roboto"/>
    </font>
    <font>
      <u/>
      <color rgb="FF0000FF"/>
      <name val="Roboto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F3FD"/>
        <bgColor rgb="FFE7F3F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horizontal="right" readingOrder="0" shrinkToFit="0" vertical="top" wrapText="0"/>
    </xf>
    <xf borderId="0" fillId="2" fontId="1" numFmtId="0" xfId="0" applyAlignment="1" applyFont="1">
      <alignment horizontal="center" readingOrder="0" shrinkToFit="0" vertical="top" wrapText="0"/>
    </xf>
    <xf borderId="1" fillId="3" fontId="2" numFmtId="0" xfId="0" applyAlignment="1" applyBorder="1" applyFill="1" applyFont="1">
      <alignment readingOrder="0" shrinkToFit="0" vertical="top" wrapText="0"/>
    </xf>
    <xf borderId="1" fillId="3" fontId="2" numFmtId="0" xfId="0" applyAlignment="1" applyBorder="1" applyFont="1">
      <alignment horizontal="right" readingOrder="0" shrinkToFit="0" vertical="top" wrapText="0"/>
    </xf>
    <xf borderId="1" fillId="3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3" fontId="2" numFmtId="0" xfId="0" applyAlignment="1" applyBorder="1" applyFont="1">
      <alignment shrinkToFit="0" vertical="top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3" fontId="5" numFmtId="0" xfId="0" applyAlignment="1" applyBorder="1" applyFon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3" fontId="11" numFmtId="0" xfId="0" applyAlignment="1" applyBorder="1" applyFont="1">
      <alignment readingOrder="0" shrinkToFit="0" vertical="top" wrapText="0"/>
    </xf>
    <xf borderId="1" fillId="0" fontId="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Movind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ush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5" displayName="Form_Responses" name="Form_Responses" id="1">
  <tableColumns count="10">
    <tableColumn name="Timestamp" id="1"/>
    <tableColumn name="Material No:" id="2"/>
    <tableColumn name="Description" id="3"/>
    <tableColumn name="Unit Value" id="4"/>
    <tableColumn name="Quantity" id="5"/>
    <tableColumn name="Total Value" id="6"/>
    <tableColumn name="Image" id="7"/>
    <tableColumn name="Machine Name" id="8"/>
    <tableColumn name="Criticality" id="9"/>
    <tableColumn name="Usability" id="10"/>
  </tableColumns>
  <tableStyleInfo name="Movindu-style" showColumnStripes="0" showFirstColumn="1" showLastColumn="1" showRowStripes="1"/>
</table>
</file>

<file path=xl/tables/table2.xml><?xml version="1.0" encoding="utf-8"?>
<table xmlns="http://schemas.openxmlformats.org/spreadsheetml/2006/main" ref="A1:J102" displayName="Form_Responses2" name="Form_Responses2" id="2">
  <tableColumns count="10">
    <tableColumn name="Timestamp" id="1"/>
    <tableColumn name="Material No:" id="2"/>
    <tableColumn name="Description" id="3"/>
    <tableColumn name="Unit Value" id="4"/>
    <tableColumn name="Quantity" id="5"/>
    <tableColumn name="Total Value" id="6"/>
    <tableColumn name="Image" id="7"/>
    <tableColumn name="Machine Name" id="8"/>
    <tableColumn name="Criticality" id="9"/>
    <tableColumn name="Usability" id="10"/>
  </tableColumns>
  <tableStyleInfo name="Arush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bBwg8bQWhvPOlLbFREoVsh0-B_9bFb0T" TargetMode="External"/><Relationship Id="rId42" Type="http://schemas.openxmlformats.org/officeDocument/2006/relationships/hyperlink" Target="https://drive.google.com/open?id=1KGAW0QUlogzA7hfNC9gsm2_pNwkBApuO" TargetMode="External"/><Relationship Id="rId41" Type="http://schemas.openxmlformats.org/officeDocument/2006/relationships/hyperlink" Target="https://drive.google.com/open?id=1W9nOmt9cj-boX5m9zkkNA-Jlf6zTUbzq" TargetMode="External"/><Relationship Id="rId44" Type="http://schemas.openxmlformats.org/officeDocument/2006/relationships/hyperlink" Target="https://drive.google.com/open?id=1KXtQPwZpjAVZqvPblH_JlYcH2sMbIJG6" TargetMode="External"/><Relationship Id="rId43" Type="http://schemas.openxmlformats.org/officeDocument/2006/relationships/hyperlink" Target="https://drive.google.com/open?id=14zeX5roeGwXezBfrXCmKihrDBX1jWdth" TargetMode="External"/><Relationship Id="rId46" Type="http://schemas.openxmlformats.org/officeDocument/2006/relationships/hyperlink" Target="https://drive.google.com/open?id=1nhHB0sNak_8fbL5rdYrdgmRkgNROaAFD" TargetMode="External"/><Relationship Id="rId45" Type="http://schemas.openxmlformats.org/officeDocument/2006/relationships/hyperlink" Target="https://drive.google.com/open?id=1eGm4LCxpyRKWU2aucGTvmBgcR-SZ09UF" TargetMode="External"/><Relationship Id="rId80" Type="http://schemas.openxmlformats.org/officeDocument/2006/relationships/table" Target="../tables/table1.xml"/><Relationship Id="rId1" Type="http://schemas.openxmlformats.org/officeDocument/2006/relationships/hyperlink" Target="https://drive.google.com/open?id=1AmLLNXhNfpiok6EBeMsJV2sicdidPsyC" TargetMode="External"/><Relationship Id="rId2" Type="http://schemas.openxmlformats.org/officeDocument/2006/relationships/hyperlink" Target="https://drive.google.com/open?id=1VRQSCCwxANm4VAYAZzPYlUwiOABKob6z" TargetMode="External"/><Relationship Id="rId3" Type="http://schemas.openxmlformats.org/officeDocument/2006/relationships/hyperlink" Target="https://drive.google.com/open?id=1Itn2hwkEljQ9rnbsSQKkqfWdIDqy4q-U" TargetMode="External"/><Relationship Id="rId4" Type="http://schemas.openxmlformats.org/officeDocument/2006/relationships/hyperlink" Target="https://drive.google.com/open?id=1Q8znGCZjby0GXNieHsQZa1rZLj6m7zZ2" TargetMode="External"/><Relationship Id="rId9" Type="http://schemas.openxmlformats.org/officeDocument/2006/relationships/hyperlink" Target="https://drive.google.com/open?id=17IGxrfYvwpdr7G1xvY07ZGVEKp2QfCiH" TargetMode="External"/><Relationship Id="rId48" Type="http://schemas.openxmlformats.org/officeDocument/2006/relationships/hyperlink" Target="https://drive.google.com/open?id=1vZgfd5V65NdvqXeK3f3QJjSBfYbA0cKN" TargetMode="External"/><Relationship Id="rId47" Type="http://schemas.openxmlformats.org/officeDocument/2006/relationships/hyperlink" Target="https://drive.google.com/open?id=1PSJWDtqtcscgW7YhHBW-u3mpwjcc_y6P" TargetMode="External"/><Relationship Id="rId49" Type="http://schemas.openxmlformats.org/officeDocument/2006/relationships/hyperlink" Target="https://drive.google.com/open?id=1ZEDMiEaXcWHuOaXgkDktJ5Xjbw658H9H" TargetMode="External"/><Relationship Id="rId5" Type="http://schemas.openxmlformats.org/officeDocument/2006/relationships/hyperlink" Target="https://drive.google.com/open?id=1QpWs2dviMVwSBa-QdGPsCpR-INED8wum" TargetMode="External"/><Relationship Id="rId6" Type="http://schemas.openxmlformats.org/officeDocument/2006/relationships/hyperlink" Target="https://drive.google.com/open?id=1GQNjWHTUhP8sQ9YXJ2Jv2gEdPlOf0_hL" TargetMode="External"/><Relationship Id="rId7" Type="http://schemas.openxmlformats.org/officeDocument/2006/relationships/hyperlink" Target="https://drive.google.com/open?id=1p9zrdcmK0MkIiA7S9Km46yCG27IDL6ng" TargetMode="External"/><Relationship Id="rId8" Type="http://schemas.openxmlformats.org/officeDocument/2006/relationships/hyperlink" Target="https://drive.google.com/open?id=1qZM2YxwYjQFfOMeaOwrBvIi7gGkkkeFo" TargetMode="External"/><Relationship Id="rId73" Type="http://schemas.openxmlformats.org/officeDocument/2006/relationships/hyperlink" Target="https://drive.google.com/open?id=1Y6u8ZFZT-UxDIfBDHAo3TPv8wmI_CuYe" TargetMode="External"/><Relationship Id="rId72" Type="http://schemas.openxmlformats.org/officeDocument/2006/relationships/hyperlink" Target="https://drive.google.com/open?id=1tqFx_LmyciFlvkFWrAJZ9pKlISg9U-xo" TargetMode="External"/><Relationship Id="rId31" Type="http://schemas.openxmlformats.org/officeDocument/2006/relationships/hyperlink" Target="https://drive.google.com/open?id=1AYYt7oYqMRGqBL6Sa8TdGH-GCAjRqPGl" TargetMode="External"/><Relationship Id="rId75" Type="http://schemas.openxmlformats.org/officeDocument/2006/relationships/hyperlink" Target="https://drive.google.com/open?id=17iDKT8oiP99DJ3bcAcO7otwRd3RVRYzE" TargetMode="External"/><Relationship Id="rId30" Type="http://schemas.openxmlformats.org/officeDocument/2006/relationships/hyperlink" Target="https://drive.google.com/open?id=1reD6VPWx69qbi9W1q1xtFbX7C3Dlrgdj" TargetMode="External"/><Relationship Id="rId74" Type="http://schemas.openxmlformats.org/officeDocument/2006/relationships/hyperlink" Target="https://drive.google.com/open?id=1A4VE8x6xj3uLpmGI4PMAr3ELae9o05cO" TargetMode="External"/><Relationship Id="rId33" Type="http://schemas.openxmlformats.org/officeDocument/2006/relationships/hyperlink" Target="https://drive.google.com/open?id=1u6Sw54SeBCIlJErvHxeJ9MCweZ_y4yIh" TargetMode="External"/><Relationship Id="rId77" Type="http://schemas.openxmlformats.org/officeDocument/2006/relationships/hyperlink" Target="https://drive.google.com/open?id=1YJtc2uMN1B4-Up9cU4LET2pnF1Af3lk3" TargetMode="External"/><Relationship Id="rId32" Type="http://schemas.openxmlformats.org/officeDocument/2006/relationships/hyperlink" Target="https://drive.google.com/open?id=1PsRJOfXGGEPhzYRt5gVWuaAGtQaYeb-1" TargetMode="External"/><Relationship Id="rId76" Type="http://schemas.openxmlformats.org/officeDocument/2006/relationships/hyperlink" Target="https://drive.google.com/open?id=165pvob3v0klkw1BfIxdU9oCePrGjYo9J" TargetMode="External"/><Relationship Id="rId35" Type="http://schemas.openxmlformats.org/officeDocument/2006/relationships/hyperlink" Target="https://drive.google.com/open?id=10PQQUmiTMRvrbTteIVmBGminZ7PMkGud" TargetMode="External"/><Relationship Id="rId34" Type="http://schemas.openxmlformats.org/officeDocument/2006/relationships/hyperlink" Target="https://drive.google.com/open?id=1RgVR2qluFp4UNGhN_71fozkISr6TgfkS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drive.google.com/open?id=1M4xJ9PAaiGfcL85JECa_t4GXabga2iTI" TargetMode="External"/><Relationship Id="rId70" Type="http://schemas.openxmlformats.org/officeDocument/2006/relationships/hyperlink" Target="https://drive.google.com/open?id=1fb2MY-OrkJ4lMQMhjGzsv4YC0gl3bpg8" TargetMode="External"/><Relationship Id="rId37" Type="http://schemas.openxmlformats.org/officeDocument/2006/relationships/hyperlink" Target="https://drive.google.com/open?id=1m1mwgv_9v9vetV6GxdNw6FZiHyM0YIcC" TargetMode="External"/><Relationship Id="rId36" Type="http://schemas.openxmlformats.org/officeDocument/2006/relationships/hyperlink" Target="https://drive.google.com/open?id=1q6WiBpueW3LLmVXop6l9qyQTEuPsH4aG" TargetMode="External"/><Relationship Id="rId39" Type="http://schemas.openxmlformats.org/officeDocument/2006/relationships/hyperlink" Target="https://drive.google.com/open?id=19k6NCzCcx1peeKK6tfjNm1cOJHjS2qOt" TargetMode="External"/><Relationship Id="rId38" Type="http://schemas.openxmlformats.org/officeDocument/2006/relationships/hyperlink" Target="https://drive.google.com/open?id=1JVt_SKTEufztU3zVbV6yX1ZfO-G_I5DM" TargetMode="External"/><Relationship Id="rId62" Type="http://schemas.openxmlformats.org/officeDocument/2006/relationships/hyperlink" Target="https://drive.google.com/open?id=1SQPs-Bp1MsNDgRgfA-Lqg36d14pBtucq" TargetMode="External"/><Relationship Id="rId61" Type="http://schemas.openxmlformats.org/officeDocument/2006/relationships/hyperlink" Target="https://drive.google.com/open?id=1_7uGITfNaSBeJDV3NGvHB_I7CGhiLMdH" TargetMode="External"/><Relationship Id="rId20" Type="http://schemas.openxmlformats.org/officeDocument/2006/relationships/hyperlink" Target="https://drive.google.com/open?id=1whvGAyaF5HNUtUHpbVrAD-_7JO2gFi_K" TargetMode="External"/><Relationship Id="rId64" Type="http://schemas.openxmlformats.org/officeDocument/2006/relationships/hyperlink" Target="http://se.005.001811.08.am" TargetMode="External"/><Relationship Id="rId63" Type="http://schemas.openxmlformats.org/officeDocument/2006/relationships/hyperlink" Target="https://drive.google.com/open?id=11WEVZs0V_Aw4TZVBXC-qiShmj7xO2tK5" TargetMode="External"/><Relationship Id="rId22" Type="http://schemas.openxmlformats.org/officeDocument/2006/relationships/hyperlink" Target="https://drive.google.com/open?id=1L3efnytc4CPlEAR3aV1XxV_H7KRbtuEC" TargetMode="External"/><Relationship Id="rId66" Type="http://schemas.openxmlformats.org/officeDocument/2006/relationships/hyperlink" Target="https://drive.google.com/open?id=1dzzWb0jlSf9jTrpF9uoByA34rOYpYuLE" TargetMode="External"/><Relationship Id="rId21" Type="http://schemas.openxmlformats.org/officeDocument/2006/relationships/hyperlink" Target="http://se.008.000115.05.at" TargetMode="External"/><Relationship Id="rId65" Type="http://schemas.openxmlformats.org/officeDocument/2006/relationships/hyperlink" Target="https://drive.google.com/open?id=1oitB8Oaw_QyFyDaGx3SZ8cizh07aZmS2" TargetMode="External"/><Relationship Id="rId24" Type="http://schemas.openxmlformats.org/officeDocument/2006/relationships/hyperlink" Target="https://drive.google.com/open?id=1Rm3gfAXVUH4T9zL-yQzuftkUWSJ-PZG1" TargetMode="External"/><Relationship Id="rId68" Type="http://schemas.openxmlformats.org/officeDocument/2006/relationships/hyperlink" Target="https://drive.google.com/open?id=1zRgYyKRuV3P6VTZnGf2XgAFsF7Aw41nA" TargetMode="External"/><Relationship Id="rId23" Type="http://schemas.openxmlformats.org/officeDocument/2006/relationships/hyperlink" Target="https://drive.google.com/open?id=14KuNNNWy0ONnyDGkjUS2opVlfiXIidKe" TargetMode="External"/><Relationship Id="rId67" Type="http://schemas.openxmlformats.org/officeDocument/2006/relationships/hyperlink" Target="https://drive.google.com/open?id=1uqaly0BPXYr43h5rjOfcJix3dMCuSY7y" TargetMode="External"/><Relationship Id="rId60" Type="http://schemas.openxmlformats.org/officeDocument/2006/relationships/hyperlink" Target="https://drive.google.com/open?id=1J_QN1feEgtbnb3wTKFRi4sl1XgmYwlCb" TargetMode="External"/><Relationship Id="rId26" Type="http://schemas.openxmlformats.org/officeDocument/2006/relationships/hyperlink" Target="https://drive.google.com/open?id=1uxGXkaqp3k3e1BtiX_dg_AwiGo6cAwVg" TargetMode="External"/><Relationship Id="rId25" Type="http://schemas.openxmlformats.org/officeDocument/2006/relationships/hyperlink" Target="https://drive.google.com/open?id=1icyXj-W1I3nRexNdDWJqgCLa09mnN_CN" TargetMode="External"/><Relationship Id="rId69" Type="http://schemas.openxmlformats.org/officeDocument/2006/relationships/hyperlink" Target="https://drive.google.com/open?id=10PLrlnGQChk9HAmQCsq9MHZT335YeUkx" TargetMode="External"/><Relationship Id="rId28" Type="http://schemas.openxmlformats.org/officeDocument/2006/relationships/hyperlink" Target="https://drive.google.com/open?id=1owyqCXDYZXQZYQ9N_731MzZfljcCSoBh" TargetMode="External"/><Relationship Id="rId27" Type="http://schemas.openxmlformats.org/officeDocument/2006/relationships/hyperlink" Target="https://drive.google.com/open?id=1gUjBANZx4lGF-POnBqbYXhdm6XtRAeSe" TargetMode="External"/><Relationship Id="rId29" Type="http://schemas.openxmlformats.org/officeDocument/2006/relationships/hyperlink" Target="https://drive.google.com/open?id=10CDWSOtGCxPKSnPXno9gnOnMJ1fNaMYO" TargetMode="External"/><Relationship Id="rId51" Type="http://schemas.openxmlformats.org/officeDocument/2006/relationships/hyperlink" Target="https://drive.google.com/open?id=1qzzWMNtwDmiLB4frKekpMn-dPuUHH-Uf" TargetMode="External"/><Relationship Id="rId50" Type="http://schemas.openxmlformats.org/officeDocument/2006/relationships/hyperlink" Target="https://drive.google.com/open?id=1TvYa2EZWEn4CApYwx0kN6fdAS5gcPrwG" TargetMode="External"/><Relationship Id="rId53" Type="http://schemas.openxmlformats.org/officeDocument/2006/relationships/hyperlink" Target="https://drive.google.com/open?id=1fI7JF6jEKdtJKJai7V2al8YuH_rG-aSA" TargetMode="External"/><Relationship Id="rId52" Type="http://schemas.openxmlformats.org/officeDocument/2006/relationships/hyperlink" Target="https://drive.google.com/open?id=1FmpgU8g8gP0nmkv-GHjxplWsRyS-xmly" TargetMode="External"/><Relationship Id="rId11" Type="http://schemas.openxmlformats.org/officeDocument/2006/relationships/hyperlink" Target="https://drive.google.com/open?id=1WjFc4WLb6E2b1RzEl01IL3GDM_OUOXMV" TargetMode="External"/><Relationship Id="rId55" Type="http://schemas.openxmlformats.org/officeDocument/2006/relationships/hyperlink" Target="http://se.010.000392.03.ar" TargetMode="External"/><Relationship Id="rId10" Type="http://schemas.openxmlformats.org/officeDocument/2006/relationships/hyperlink" Target="https://drive.google.com/open?id=1VQBeUB_UVegAzckj-INDBFCrKiDTsKq6" TargetMode="External"/><Relationship Id="rId54" Type="http://schemas.openxmlformats.org/officeDocument/2006/relationships/hyperlink" Target="https://drive.google.com/open?id=1WmhRjdI2U2z8Pq2Vc9AU4YekIr--th9l" TargetMode="External"/><Relationship Id="rId13" Type="http://schemas.openxmlformats.org/officeDocument/2006/relationships/hyperlink" Target="https://drive.google.com/open?id=1GXYs3M5uZFbrOSGXUplju32Ppb9jPDCi" TargetMode="External"/><Relationship Id="rId57" Type="http://schemas.openxmlformats.org/officeDocument/2006/relationships/hyperlink" Target="https://drive.google.com/open?id=1U4uwoa4xrJNO9Sa_8CfwtAr58y4UUNmt" TargetMode="External"/><Relationship Id="rId12" Type="http://schemas.openxmlformats.org/officeDocument/2006/relationships/hyperlink" Target="https://drive.google.com/open?id=1PS9yG_5MZowt-c2rPv1JTVP18sy4O-60" TargetMode="External"/><Relationship Id="rId56" Type="http://schemas.openxmlformats.org/officeDocument/2006/relationships/hyperlink" Target="https://drive.google.com/open?id=1Y9__1oZX01vypD0Jxyl5LDnEQGTMqwG3" TargetMode="External"/><Relationship Id="rId15" Type="http://schemas.openxmlformats.org/officeDocument/2006/relationships/hyperlink" Target="https://drive.google.com/open?id=1mXi_yljazfa4lbd41MLBRyE-5hqh6mcf" TargetMode="External"/><Relationship Id="rId59" Type="http://schemas.openxmlformats.org/officeDocument/2006/relationships/hyperlink" Target="https://drive.google.com/open?id=17-e_x-heAKd_a1x1zm9hOhNNsXzlW6L4" TargetMode="External"/><Relationship Id="rId14" Type="http://schemas.openxmlformats.org/officeDocument/2006/relationships/hyperlink" Target="https://drive.google.com/open?id=1z3c-bYSHPb7WPVLtUJZS1ECtuv8FSlL2" TargetMode="External"/><Relationship Id="rId58" Type="http://schemas.openxmlformats.org/officeDocument/2006/relationships/hyperlink" Target="https://drive.google.com/open?id=1nAy3xVoeQAjGKG34TkjBdAYg0-x-WRMB" TargetMode="External"/><Relationship Id="rId17" Type="http://schemas.openxmlformats.org/officeDocument/2006/relationships/hyperlink" Target="https://drive.google.com/open?id=1Y8u0LHETFfIvJfLWzALgofggqLPlHxjY" TargetMode="External"/><Relationship Id="rId16" Type="http://schemas.openxmlformats.org/officeDocument/2006/relationships/hyperlink" Target="https://drive.google.com/open?id=1vpnUAPDydY1Yb6lp84hKR2q9s2zBF_9F" TargetMode="External"/><Relationship Id="rId19" Type="http://schemas.openxmlformats.org/officeDocument/2006/relationships/hyperlink" Target="https://drive.google.com/open?id=1hi_uRFHpb0FLeBKOmZqN55dqUjfuYjwe" TargetMode="External"/><Relationship Id="rId18" Type="http://schemas.openxmlformats.org/officeDocument/2006/relationships/hyperlink" Target="https://drive.google.com/open?id=1zrdV1B3-MWkXHWtbx5ad70n9FyaSXN5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u0SjaUssSN62sRb1mWBMS7CXi59DzVIs" TargetMode="External"/><Relationship Id="rId42" Type="http://schemas.openxmlformats.org/officeDocument/2006/relationships/hyperlink" Target="https://drive.google.com/open?id=1-xhqy3AtP8U2KkxcWw-rm8HY4pq4lrH3" TargetMode="External"/><Relationship Id="rId41" Type="http://schemas.openxmlformats.org/officeDocument/2006/relationships/hyperlink" Target="https://drive.google.com/open?id=18aYTP8yg--IpuH-4RHjaXaGwl6p1ZL45" TargetMode="External"/><Relationship Id="rId44" Type="http://schemas.openxmlformats.org/officeDocument/2006/relationships/hyperlink" Target="https://drive.google.com/open?id=16fiufI3KGDmERMdtGjWcquXYbBipXBxF" TargetMode="External"/><Relationship Id="rId43" Type="http://schemas.openxmlformats.org/officeDocument/2006/relationships/hyperlink" Target="https://drive.google.com/open?id=10XrZLlEE7izM2qdmIcI34K-G-zw8zXvj" TargetMode="External"/><Relationship Id="rId46" Type="http://schemas.openxmlformats.org/officeDocument/2006/relationships/hyperlink" Target="https://drive.google.com/open?id=1wLZ-wS02xthhGLYn3e3i7BZcfwkWamY2" TargetMode="External"/><Relationship Id="rId45" Type="http://schemas.openxmlformats.org/officeDocument/2006/relationships/hyperlink" Target="https://drive.google.com/open?id=1zlXRa7gzXWmkY59r5daKlG4iHnArwzcR" TargetMode="External"/><Relationship Id="rId107" Type="http://schemas.openxmlformats.org/officeDocument/2006/relationships/table" Target="../tables/table2.xml"/><Relationship Id="rId105" Type="http://schemas.openxmlformats.org/officeDocument/2006/relationships/drawing" Target="../drawings/drawing2.xml"/><Relationship Id="rId104" Type="http://schemas.openxmlformats.org/officeDocument/2006/relationships/hyperlink" Target="https://drive.google.com/open?id=1hkGPbfq4yGNibje3wTv_afkFUJ6eEq39" TargetMode="External"/><Relationship Id="rId48" Type="http://schemas.openxmlformats.org/officeDocument/2006/relationships/hyperlink" Target="https://drive.google.com/open?id=1nX-drQS6X6M4BABcTLRlkR_x9hUK3F-Y" TargetMode="External"/><Relationship Id="rId47" Type="http://schemas.openxmlformats.org/officeDocument/2006/relationships/hyperlink" Target="https://drive.google.com/open?id=1jxKmf1TCghChwok2R1pT36vrkH51-R6z" TargetMode="External"/><Relationship Id="rId49" Type="http://schemas.openxmlformats.org/officeDocument/2006/relationships/hyperlink" Target="https://drive.google.com/open?id=1efLjQEXn7sVE6mO8N0dsEcg3R5wDhVpP" TargetMode="External"/><Relationship Id="rId103" Type="http://schemas.openxmlformats.org/officeDocument/2006/relationships/hyperlink" Target="https://drive.google.com/open?id=1NPBtI8tr6Ql3QduYRicUXSJjuSAv-qe5" TargetMode="External"/><Relationship Id="rId102" Type="http://schemas.openxmlformats.org/officeDocument/2006/relationships/hyperlink" Target="https://drive.google.com/open?id=1hgWpOUgiPqyUUKErNIWc3zT21KCeX447" TargetMode="External"/><Relationship Id="rId101" Type="http://schemas.openxmlformats.org/officeDocument/2006/relationships/hyperlink" Target="https://drive.google.com/open?id=1Bj8r3-wdlNdgWK72v43KdVFxQA7vZrAc" TargetMode="External"/><Relationship Id="rId100" Type="http://schemas.openxmlformats.org/officeDocument/2006/relationships/hyperlink" Target="https://drive.google.com/open?id=1RF-b7wYpPbX1lUWPtqi47XbU9GS-mqO2" TargetMode="External"/><Relationship Id="rId31" Type="http://schemas.openxmlformats.org/officeDocument/2006/relationships/hyperlink" Target="https://drive.google.com/open?id=1uE1JpkvfzcPxLqJbYvwKUft8Z4Rl71s9" TargetMode="External"/><Relationship Id="rId30" Type="http://schemas.openxmlformats.org/officeDocument/2006/relationships/hyperlink" Target="https://drive.google.com/open?id=1HHotBz4L-I1UcQc2-2lhEyE40kGQeJ1f" TargetMode="External"/><Relationship Id="rId33" Type="http://schemas.openxmlformats.org/officeDocument/2006/relationships/hyperlink" Target="https://drive.google.com/open?id=1ThDGa3BT_jua6rpF0ch2T1w33Sn8MlVY" TargetMode="External"/><Relationship Id="rId32" Type="http://schemas.openxmlformats.org/officeDocument/2006/relationships/hyperlink" Target="https://drive.google.com/open?id=1hHeO4MFC-YjpWnsH5keQwLsEtAH0uSOo" TargetMode="External"/><Relationship Id="rId35" Type="http://schemas.openxmlformats.org/officeDocument/2006/relationships/hyperlink" Target="http://sm.010.002643.14.ba/" TargetMode="External"/><Relationship Id="rId34" Type="http://schemas.openxmlformats.org/officeDocument/2006/relationships/hyperlink" Target="https://drive.google.com/open?id=1Pt6kxqrq9kU4THtVGAMXqeK1KoPkKcDi" TargetMode="External"/><Relationship Id="rId37" Type="http://schemas.openxmlformats.org/officeDocument/2006/relationships/hyperlink" Target="http://sm.010.002643.14.ba/" TargetMode="External"/><Relationship Id="rId36" Type="http://schemas.openxmlformats.org/officeDocument/2006/relationships/hyperlink" Target="https://drive.google.com/open?id=149Woe8csoiCAfWzdpIgJq8YF_sx1wA4K" TargetMode="External"/><Relationship Id="rId39" Type="http://schemas.openxmlformats.org/officeDocument/2006/relationships/hyperlink" Target="https://drive.google.com/open?id=15we1HRuWVdcnbOvYqXassio6FDst8Uyu" TargetMode="External"/><Relationship Id="rId38" Type="http://schemas.openxmlformats.org/officeDocument/2006/relationships/hyperlink" Target="https://drive.google.com/open?id=1vfeBOOiRKLtROS0AynmGm1Pg-u3SPmON" TargetMode="External"/><Relationship Id="rId20" Type="http://schemas.openxmlformats.org/officeDocument/2006/relationships/hyperlink" Target="https://drive.google.com/open?id=1ylwfZSDtz1neq5RVKuk82VV1P7VXJCsK" TargetMode="External"/><Relationship Id="rId22" Type="http://schemas.openxmlformats.org/officeDocument/2006/relationships/hyperlink" Target="https://drive.google.com/open?id=1E3rPj4BIDNA42Dz3aN91dInchq_6KsR1" TargetMode="External"/><Relationship Id="rId21" Type="http://schemas.openxmlformats.org/officeDocument/2006/relationships/hyperlink" Target="https://drive.google.com/open?id=1YBwvGmpXwwnJWFBGGoSE5ncRZwgich-I" TargetMode="External"/><Relationship Id="rId24" Type="http://schemas.openxmlformats.org/officeDocument/2006/relationships/hyperlink" Target="https://drive.google.com/open?id=1QlUNSNaHmFEZlz_NsLFJIjfVCRB0z7GB" TargetMode="External"/><Relationship Id="rId23" Type="http://schemas.openxmlformats.org/officeDocument/2006/relationships/hyperlink" Target="https://drive.google.com/open?id=1KlN4zVv7EicY3JeEfzNv9z2kMmOwfH3a" TargetMode="External"/><Relationship Id="rId26" Type="http://schemas.openxmlformats.org/officeDocument/2006/relationships/hyperlink" Target="https://drive.google.com/open?id=18yrlfTY84S3iL0TAzO_XbEP1SZSeM-yp" TargetMode="External"/><Relationship Id="rId25" Type="http://schemas.openxmlformats.org/officeDocument/2006/relationships/hyperlink" Target="https://drive.google.com/open?id=1JWtLaQtPGlGCIkKGfnyQKRodvB1nEOnN" TargetMode="External"/><Relationship Id="rId28" Type="http://schemas.openxmlformats.org/officeDocument/2006/relationships/hyperlink" Target="https://drive.google.com/open?id=1npQgBI8fwPHPdNjWNoj2nk0dJc7eEM6I" TargetMode="External"/><Relationship Id="rId27" Type="http://schemas.openxmlformats.org/officeDocument/2006/relationships/hyperlink" Target="https://drive.google.com/open?id=18RfhYXNpHhS9cx766RcVZj3ZZF8sUeXS" TargetMode="External"/><Relationship Id="rId29" Type="http://schemas.openxmlformats.org/officeDocument/2006/relationships/hyperlink" Target="https://drive.google.com/open?id=143e9cq2Q1woCploxvWzha4YfccLWE7_q" TargetMode="External"/><Relationship Id="rId95" Type="http://schemas.openxmlformats.org/officeDocument/2006/relationships/hyperlink" Target="https://drive.google.com/open?id=18D0AqekxH2wHRwZ6gRG2yNdSrJNXzUY2" TargetMode="External"/><Relationship Id="rId94" Type="http://schemas.openxmlformats.org/officeDocument/2006/relationships/hyperlink" Target="https://drive.google.com/open?id=1DoPf-Q5-t8aeH58kmMzSFewdgSrWFVX2" TargetMode="External"/><Relationship Id="rId97" Type="http://schemas.openxmlformats.org/officeDocument/2006/relationships/hyperlink" Target="https://drive.google.com/open?id=1y-bYyL6n3UPtrOj-iU7tUhYVfYg4H9Nm" TargetMode="External"/><Relationship Id="rId96" Type="http://schemas.openxmlformats.org/officeDocument/2006/relationships/hyperlink" Target="https://drive.google.com/open?id=1PwEsU_-EH4_a7o6cdeneTghaUu-sHmJG" TargetMode="External"/><Relationship Id="rId11" Type="http://schemas.openxmlformats.org/officeDocument/2006/relationships/hyperlink" Target="https://drive.google.com/open?id=116yg7DsDIV4rgQ358TMqKEI48Xkz4_5D" TargetMode="External"/><Relationship Id="rId99" Type="http://schemas.openxmlformats.org/officeDocument/2006/relationships/hyperlink" Target="https://drive.google.com/open?id=1xEcJh2LLLkwURW3MMY6lYGq3e-FE6kBo" TargetMode="External"/><Relationship Id="rId10" Type="http://schemas.openxmlformats.org/officeDocument/2006/relationships/hyperlink" Target="https://drive.google.com/open?id=1ntr8hxELHuV114pjYypsTviIW6aBnu3T" TargetMode="External"/><Relationship Id="rId98" Type="http://schemas.openxmlformats.org/officeDocument/2006/relationships/hyperlink" Target="https://drive.google.com/open?id=1qzPzsKCWr_cGpXf_4tGJORnIhCd5ztTN" TargetMode="External"/><Relationship Id="rId13" Type="http://schemas.openxmlformats.org/officeDocument/2006/relationships/hyperlink" Target="https://drive.google.com/open?id=1sW97F4CnQl3Y9ivxavj84cHL8BNygYGN" TargetMode="External"/><Relationship Id="rId12" Type="http://schemas.openxmlformats.org/officeDocument/2006/relationships/hyperlink" Target="https://drive.google.com/open?id=1k74BERniqn0jEDHsROQVlJ5kTdaSVtJA" TargetMode="External"/><Relationship Id="rId91" Type="http://schemas.openxmlformats.org/officeDocument/2006/relationships/hyperlink" Target="https://drive.google.com/open?id=1KrMlCP5Y1pkMuZ_ZpbhF9eplr-COg4Cg" TargetMode="External"/><Relationship Id="rId90" Type="http://schemas.openxmlformats.org/officeDocument/2006/relationships/hyperlink" Target="https://drive.google.com/open?id=1Rzwy4xvABPRj46f4GB5NCH38ySUSBzeX" TargetMode="External"/><Relationship Id="rId93" Type="http://schemas.openxmlformats.org/officeDocument/2006/relationships/hyperlink" Target="https://drive.google.com/open?id=1He52eiaM-jwWsyUexm1_lGg_IZw2BAci" TargetMode="External"/><Relationship Id="rId92" Type="http://schemas.openxmlformats.org/officeDocument/2006/relationships/hyperlink" Target="https://drive.google.com/open?id=1Vkdvb5LtZL8CGfq9x-3zVyz7jShDtZuG" TargetMode="External"/><Relationship Id="rId15" Type="http://schemas.openxmlformats.org/officeDocument/2006/relationships/hyperlink" Target="https://drive.google.com/open?id=1UDqE64VVI1nQbotVxWxoCOu4S-FJLicP" TargetMode="External"/><Relationship Id="rId14" Type="http://schemas.openxmlformats.org/officeDocument/2006/relationships/hyperlink" Target="https://drive.google.com/open?id=1e9NS0ZIuy2ut5Q-M4nGctV01zL_TTsKx" TargetMode="External"/><Relationship Id="rId17" Type="http://schemas.openxmlformats.org/officeDocument/2006/relationships/hyperlink" Target="https://drive.google.com/open?id=1WIctCtwbcJ_WzgdVDnO3ggsyv-vKzd-U" TargetMode="External"/><Relationship Id="rId16" Type="http://schemas.openxmlformats.org/officeDocument/2006/relationships/hyperlink" Target="https://drive.google.com/open?id=1bwfbJ52v8vH3z_BYqUbcLoLFglSX6pOn" TargetMode="External"/><Relationship Id="rId19" Type="http://schemas.openxmlformats.org/officeDocument/2006/relationships/hyperlink" Target="https://drive.google.com/open?id=1rc4Kd8cdsZbK3mStJDmYn4IW9vWNJxvr" TargetMode="External"/><Relationship Id="rId18" Type="http://schemas.openxmlformats.org/officeDocument/2006/relationships/hyperlink" Target="https://drive.google.com/open?id=1qDaXxa2KEK1klbXFBbcFyrdeYPUU6zGU" TargetMode="External"/><Relationship Id="rId84" Type="http://schemas.openxmlformats.org/officeDocument/2006/relationships/hyperlink" Target="http://se.008.000083.09.au/" TargetMode="External"/><Relationship Id="rId83" Type="http://schemas.openxmlformats.org/officeDocument/2006/relationships/hyperlink" Target="https://drive.google.com/open?id=10I74BNa0hMjI0S8uu5KvqOPYdgJDr1jF" TargetMode="External"/><Relationship Id="rId86" Type="http://schemas.openxmlformats.org/officeDocument/2006/relationships/hyperlink" Target="https://drive.google.com/open?id=1e5kGsKwmnpUN0Ct9LluugQ8nxcATWyue" TargetMode="External"/><Relationship Id="rId85" Type="http://schemas.openxmlformats.org/officeDocument/2006/relationships/hyperlink" Target="https://drive.google.com/open?id=1AnOcjbUM-bb3fpe3mHfWZep7exrirmjl" TargetMode="External"/><Relationship Id="rId88" Type="http://schemas.openxmlformats.org/officeDocument/2006/relationships/hyperlink" Target="https://drive.google.com/open?id=1AFUGTjvpV1FqByvfq5B6nt4hTTr6veon" TargetMode="External"/><Relationship Id="rId87" Type="http://schemas.openxmlformats.org/officeDocument/2006/relationships/hyperlink" Target="https://drive.google.com/open?id=1p9IsRIy5Xwde3Lm71KAIj8WKDApzYpCy" TargetMode="External"/><Relationship Id="rId89" Type="http://schemas.openxmlformats.org/officeDocument/2006/relationships/hyperlink" Target="https://drive.google.com/open?id=1KoGG-Pp2tTAxZmrR83W1aZNUm2ZYt_GF" TargetMode="External"/><Relationship Id="rId80" Type="http://schemas.openxmlformats.org/officeDocument/2006/relationships/hyperlink" Target="https://drive.google.com/open?id=1venlQrOxyliTmw5NnHrYGzjvLe2qEjR3" TargetMode="External"/><Relationship Id="rId82" Type="http://schemas.openxmlformats.org/officeDocument/2006/relationships/hyperlink" Target="https://drive.google.com/open?id=1cE16382mxD3THBuRbczBc59_CTniE3kb" TargetMode="External"/><Relationship Id="rId81" Type="http://schemas.openxmlformats.org/officeDocument/2006/relationships/hyperlink" Target="https://drive.google.com/open?id=1CLg-WvhUY2510XAgWxhZhmjjb3JKb318" TargetMode="External"/><Relationship Id="rId1" Type="http://schemas.openxmlformats.org/officeDocument/2006/relationships/hyperlink" Target="https://drive.google.com/open?id=17Pb7Wcf1uAsvQdQLtMPsXPEpePDXKtKn" TargetMode="External"/><Relationship Id="rId2" Type="http://schemas.openxmlformats.org/officeDocument/2006/relationships/hyperlink" Target="https://drive.google.com/open?id=1cdn0jpC2WHUfjGK6IBw4h7pSc6ezRd2f" TargetMode="External"/><Relationship Id="rId3" Type="http://schemas.openxmlformats.org/officeDocument/2006/relationships/hyperlink" Target="https://drive.google.com/open?id=1bDAYZjcTleXkP1mlZDtC2HY8tmp4i0oB" TargetMode="External"/><Relationship Id="rId4" Type="http://schemas.openxmlformats.org/officeDocument/2006/relationships/hyperlink" Target="https://drive.google.com/open?id=12D3c8YNVFERvETpNqaajn7wpmNdQg2sG" TargetMode="External"/><Relationship Id="rId9" Type="http://schemas.openxmlformats.org/officeDocument/2006/relationships/hyperlink" Target="https://drive.google.com/open?id=129FRZXtZuB843Na9mqIrb7D22oN3lebG" TargetMode="External"/><Relationship Id="rId5" Type="http://schemas.openxmlformats.org/officeDocument/2006/relationships/hyperlink" Target="https://drive.google.com/open?id=1GLH5xPr-BWXULiIJvYjDVRkgQBFnc256" TargetMode="External"/><Relationship Id="rId6" Type="http://schemas.openxmlformats.org/officeDocument/2006/relationships/hyperlink" Target="https://drive.google.com/open?id=1I_7rRhIVdLz7rfYAm5h3Zska6LMrQACq" TargetMode="External"/><Relationship Id="rId7" Type="http://schemas.openxmlformats.org/officeDocument/2006/relationships/hyperlink" Target="https://drive.google.com/open?id=1JvnmWd8tzrxqndH50NijQuqiJ8Sc3ar_" TargetMode="External"/><Relationship Id="rId8" Type="http://schemas.openxmlformats.org/officeDocument/2006/relationships/hyperlink" Target="https://drive.google.com/open?id=1DSSI0M2FRz36HUF5XLv27vZr1wCowEFG" TargetMode="External"/><Relationship Id="rId73" Type="http://schemas.openxmlformats.org/officeDocument/2006/relationships/hyperlink" Target="https://drive.google.com/open?id=1LgWNXlEhM-9Xoyjujrihxg_bA2Znnily" TargetMode="External"/><Relationship Id="rId72" Type="http://schemas.openxmlformats.org/officeDocument/2006/relationships/hyperlink" Target="https://drive.google.com/open?id=1XjdSzMxPH3Nu0h__O3iX1DgsKkNsBa3O" TargetMode="External"/><Relationship Id="rId75" Type="http://schemas.openxmlformats.org/officeDocument/2006/relationships/hyperlink" Target="https://drive.google.com/open?id=1zy-nvaX3fLQ2Gb7UyCDX3NcoFPCvb1qO" TargetMode="External"/><Relationship Id="rId74" Type="http://schemas.openxmlformats.org/officeDocument/2006/relationships/hyperlink" Target="https://drive.google.com/open?id=1LTbi3d8GYwQdb9QRDhyf_S7nrliAFnHP" TargetMode="External"/><Relationship Id="rId77" Type="http://schemas.openxmlformats.org/officeDocument/2006/relationships/hyperlink" Target="https://drive.google.com/open?id=1dyw8MmZFrExLAlyyERqEYYo0Cc7IeKdG" TargetMode="External"/><Relationship Id="rId76" Type="http://schemas.openxmlformats.org/officeDocument/2006/relationships/hyperlink" Target="https://drive.google.com/open?id=1I7hQe6s3h7eV3QhwC6D7lemIZtRLuwV7" TargetMode="External"/><Relationship Id="rId79" Type="http://schemas.openxmlformats.org/officeDocument/2006/relationships/hyperlink" Target="https://drive.google.com/open?id=1Ma43bB8Rl51BDeXx_6GObfeZ2VHNbd-F" TargetMode="External"/><Relationship Id="rId78" Type="http://schemas.openxmlformats.org/officeDocument/2006/relationships/hyperlink" Target="https://drive.google.com/open?id=1wJXLPADR2xtSv0ueugly7yEBiflZu4V0" TargetMode="External"/><Relationship Id="rId71" Type="http://schemas.openxmlformats.org/officeDocument/2006/relationships/hyperlink" Target="https://drive.google.com/open?id=1cf5pZF1xNZfVfHNuElqR4D154FJsotoF" TargetMode="External"/><Relationship Id="rId70" Type="http://schemas.openxmlformats.org/officeDocument/2006/relationships/hyperlink" Target="https://drive.google.com/open?id=1OOcGD_d1fw-meol_iOZ6ihswj8SoBbpT" TargetMode="External"/><Relationship Id="rId62" Type="http://schemas.openxmlformats.org/officeDocument/2006/relationships/hyperlink" Target="https://drive.google.com/open?id=1OIuIMGpdN2qnw35AkMY-IMav4YkatGTA" TargetMode="External"/><Relationship Id="rId61" Type="http://schemas.openxmlformats.org/officeDocument/2006/relationships/hyperlink" Target="https://drive.google.com/open?id=1YHGSbzryqKALEscGW1f4RCU3OddQoIrJ" TargetMode="External"/><Relationship Id="rId64" Type="http://schemas.openxmlformats.org/officeDocument/2006/relationships/hyperlink" Target="https://drive.google.com/open?id=1CY64_EQJsv8FUkTerINMSxWWBsLYVwLb" TargetMode="External"/><Relationship Id="rId63" Type="http://schemas.openxmlformats.org/officeDocument/2006/relationships/hyperlink" Target="https://drive.google.com/open?id=10IUm8-9jfymRP6AGIbDFtGQU6O2q75Ob" TargetMode="External"/><Relationship Id="rId66" Type="http://schemas.openxmlformats.org/officeDocument/2006/relationships/hyperlink" Target="https://drive.google.com/open?id=17Z6T9-5UisX6NXODxQRZdA2q366Kl--8" TargetMode="External"/><Relationship Id="rId65" Type="http://schemas.openxmlformats.org/officeDocument/2006/relationships/hyperlink" Target="https://drive.google.com/open?id=1MZY5dMlYb6axpRSgG_pUMdWkU9fZNeME" TargetMode="External"/><Relationship Id="rId68" Type="http://schemas.openxmlformats.org/officeDocument/2006/relationships/hyperlink" Target="https://drive.google.com/open?id=10xu07W68xCdbXdTz4AOE9FVPLJ-6YFVb" TargetMode="External"/><Relationship Id="rId67" Type="http://schemas.openxmlformats.org/officeDocument/2006/relationships/hyperlink" Target="https://drive.google.com/open?id=1xSf9XpiycTLhRETh60XUcjIH1U2bQ8Gr" TargetMode="External"/><Relationship Id="rId60" Type="http://schemas.openxmlformats.org/officeDocument/2006/relationships/hyperlink" Target="https://drive.google.com/open?id=19Vp7tJ3_MfvwhqEyC4cxTL9B9AL_BZip" TargetMode="External"/><Relationship Id="rId69" Type="http://schemas.openxmlformats.org/officeDocument/2006/relationships/hyperlink" Target="http://sm.012.003017.06.bo/" TargetMode="External"/><Relationship Id="rId51" Type="http://schemas.openxmlformats.org/officeDocument/2006/relationships/hyperlink" Target="https://drive.google.com/open?id=1SXTHZUHpPFLIfLoWGZd0-N3vA9FhHAzW" TargetMode="External"/><Relationship Id="rId50" Type="http://schemas.openxmlformats.org/officeDocument/2006/relationships/hyperlink" Target="https://drive.google.com/open?id=1S6XAxBvuG16iABFdaIs_t9tCYLmOldVo" TargetMode="External"/><Relationship Id="rId53" Type="http://schemas.openxmlformats.org/officeDocument/2006/relationships/hyperlink" Target="https://drive.google.com/open?id=1Y5w8bsYV_WjSvlRKRPnCxNnTNFR6Und5" TargetMode="External"/><Relationship Id="rId52" Type="http://schemas.openxmlformats.org/officeDocument/2006/relationships/hyperlink" Target="https://drive.google.com/open?id=1ZqW6y79YbmKPfNgd95IW6VaDbanseVQP" TargetMode="External"/><Relationship Id="rId55" Type="http://schemas.openxmlformats.org/officeDocument/2006/relationships/hyperlink" Target="https://drive.google.com/open?id=1g8DOeVeNt85ZC91vSYmWPJGQeouE-jje" TargetMode="External"/><Relationship Id="rId54" Type="http://schemas.openxmlformats.org/officeDocument/2006/relationships/hyperlink" Target="https://drive.google.com/open?id=1vt7xFY4TLmkGE0n63j8ciLIJI9tV9JLh" TargetMode="External"/><Relationship Id="rId57" Type="http://schemas.openxmlformats.org/officeDocument/2006/relationships/hyperlink" Target="https://drive.google.com/open?id=1ZbbW5GjHT2wlcoddJLQChgL6BLWdATjr" TargetMode="External"/><Relationship Id="rId56" Type="http://schemas.openxmlformats.org/officeDocument/2006/relationships/hyperlink" Target="https://drive.google.com/open?id=1A4q_TfUAGW9xL9M_j0qOEJceRepWnrQF" TargetMode="External"/><Relationship Id="rId59" Type="http://schemas.openxmlformats.org/officeDocument/2006/relationships/hyperlink" Target="https://drive.google.com/open?id=1nlrYPGl69PTzHQlkdxsqII5yW8SKRziM" TargetMode="External"/><Relationship Id="rId58" Type="http://schemas.openxmlformats.org/officeDocument/2006/relationships/hyperlink" Target="https://drive.google.com/open?id=1TtZYEX-6b8t5o-qPC7YoBs_kBfAyFjJ7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sm.001.001233.07.bh" TargetMode="External"/><Relationship Id="rId190" Type="http://schemas.openxmlformats.org/officeDocument/2006/relationships/hyperlink" Target="http://sm.016.006408.08.am" TargetMode="External"/><Relationship Id="rId42" Type="http://schemas.openxmlformats.org/officeDocument/2006/relationships/hyperlink" Target="http://sm.001.001273.07.bh" TargetMode="External"/><Relationship Id="rId41" Type="http://schemas.openxmlformats.org/officeDocument/2006/relationships/hyperlink" Target="http://sm.001.001234.07.bh" TargetMode="External"/><Relationship Id="rId44" Type="http://schemas.openxmlformats.org/officeDocument/2006/relationships/hyperlink" Target="http://sm.002.000353.14.ba" TargetMode="External"/><Relationship Id="rId194" Type="http://schemas.openxmlformats.org/officeDocument/2006/relationships/hyperlink" Target="http://sm.016.006485.08.am" TargetMode="External"/><Relationship Id="rId43" Type="http://schemas.openxmlformats.org/officeDocument/2006/relationships/hyperlink" Target="http://sm.002.000324.09.au" TargetMode="External"/><Relationship Id="rId193" Type="http://schemas.openxmlformats.org/officeDocument/2006/relationships/hyperlink" Target="http://sm.016.006419.08.am" TargetMode="External"/><Relationship Id="rId46" Type="http://schemas.openxmlformats.org/officeDocument/2006/relationships/hyperlink" Target="http://sm.005.001584.08.am" TargetMode="External"/><Relationship Id="rId192" Type="http://schemas.openxmlformats.org/officeDocument/2006/relationships/hyperlink" Target="http://sm.016.006414.08.am" TargetMode="External"/><Relationship Id="rId45" Type="http://schemas.openxmlformats.org/officeDocument/2006/relationships/hyperlink" Target="http://sm.005.000463.07.bh" TargetMode="External"/><Relationship Id="rId191" Type="http://schemas.openxmlformats.org/officeDocument/2006/relationships/hyperlink" Target="http://sm.016.006409.08.am" TargetMode="External"/><Relationship Id="rId48" Type="http://schemas.openxmlformats.org/officeDocument/2006/relationships/hyperlink" Target="http://sm.005.001673.09.au" TargetMode="External"/><Relationship Id="rId187" Type="http://schemas.openxmlformats.org/officeDocument/2006/relationships/hyperlink" Target="http://sm.016.006395.08.am" TargetMode="External"/><Relationship Id="rId47" Type="http://schemas.openxmlformats.org/officeDocument/2006/relationships/hyperlink" Target="http://sm.005.001672.09.au" TargetMode="External"/><Relationship Id="rId186" Type="http://schemas.openxmlformats.org/officeDocument/2006/relationships/hyperlink" Target="http://sm.016.006392.08.am" TargetMode="External"/><Relationship Id="rId185" Type="http://schemas.openxmlformats.org/officeDocument/2006/relationships/hyperlink" Target="http://sm.016.006391.08.am" TargetMode="External"/><Relationship Id="rId49" Type="http://schemas.openxmlformats.org/officeDocument/2006/relationships/hyperlink" Target="http://sm.005.001674.09.au" TargetMode="External"/><Relationship Id="rId184" Type="http://schemas.openxmlformats.org/officeDocument/2006/relationships/hyperlink" Target="http://sm.016.006390.08.am" TargetMode="External"/><Relationship Id="rId189" Type="http://schemas.openxmlformats.org/officeDocument/2006/relationships/hyperlink" Target="http://sm.016.006407.08.am" TargetMode="External"/><Relationship Id="rId188" Type="http://schemas.openxmlformats.org/officeDocument/2006/relationships/hyperlink" Target="http://sm.016.006401.08.am" TargetMode="External"/><Relationship Id="rId31" Type="http://schemas.openxmlformats.org/officeDocument/2006/relationships/hyperlink" Target="http://se.020.000320.08.am" TargetMode="External"/><Relationship Id="rId30" Type="http://schemas.openxmlformats.org/officeDocument/2006/relationships/hyperlink" Target="http://se.019.000080.07.bh" TargetMode="External"/><Relationship Id="rId33" Type="http://schemas.openxmlformats.org/officeDocument/2006/relationships/hyperlink" Target="http://sm.001.000946.08.am" TargetMode="External"/><Relationship Id="rId183" Type="http://schemas.openxmlformats.org/officeDocument/2006/relationships/hyperlink" Target="http://sm.016.006346.05.at" TargetMode="External"/><Relationship Id="rId32" Type="http://schemas.openxmlformats.org/officeDocument/2006/relationships/hyperlink" Target="http://sm.001.000944.08.am" TargetMode="External"/><Relationship Id="rId182" Type="http://schemas.openxmlformats.org/officeDocument/2006/relationships/hyperlink" Target="http://sm.016.006336.07.bh" TargetMode="External"/><Relationship Id="rId35" Type="http://schemas.openxmlformats.org/officeDocument/2006/relationships/hyperlink" Target="http://sm.001.001014.09.au" TargetMode="External"/><Relationship Id="rId181" Type="http://schemas.openxmlformats.org/officeDocument/2006/relationships/hyperlink" Target="http://sm.016.006334.07.bh" TargetMode="External"/><Relationship Id="rId34" Type="http://schemas.openxmlformats.org/officeDocument/2006/relationships/hyperlink" Target="http://sm.001.000948.08.am" TargetMode="External"/><Relationship Id="rId180" Type="http://schemas.openxmlformats.org/officeDocument/2006/relationships/hyperlink" Target="http://sm.016.006324.07.bh" TargetMode="External"/><Relationship Id="rId37" Type="http://schemas.openxmlformats.org/officeDocument/2006/relationships/hyperlink" Target="http://sm.001.001073.08.am" TargetMode="External"/><Relationship Id="rId176" Type="http://schemas.openxmlformats.org/officeDocument/2006/relationships/hyperlink" Target="http://sm.016.006229.07.bh" TargetMode="External"/><Relationship Id="rId36" Type="http://schemas.openxmlformats.org/officeDocument/2006/relationships/hyperlink" Target="http://sm.001.001016.09.au" TargetMode="External"/><Relationship Id="rId175" Type="http://schemas.openxmlformats.org/officeDocument/2006/relationships/hyperlink" Target="http://sm.016.006227.07.bh" TargetMode="External"/><Relationship Id="rId39" Type="http://schemas.openxmlformats.org/officeDocument/2006/relationships/hyperlink" Target="http://sm.001.001201.09.au" TargetMode="External"/><Relationship Id="rId174" Type="http://schemas.openxmlformats.org/officeDocument/2006/relationships/hyperlink" Target="http://sm.016.006217.08.am" TargetMode="External"/><Relationship Id="rId38" Type="http://schemas.openxmlformats.org/officeDocument/2006/relationships/hyperlink" Target="http://sm.001.001118.07.bh" TargetMode="External"/><Relationship Id="rId173" Type="http://schemas.openxmlformats.org/officeDocument/2006/relationships/hyperlink" Target="http://sm.016.006206.08.am" TargetMode="External"/><Relationship Id="rId179" Type="http://schemas.openxmlformats.org/officeDocument/2006/relationships/hyperlink" Target="http://sm.016.006307.07.bh" TargetMode="External"/><Relationship Id="rId178" Type="http://schemas.openxmlformats.org/officeDocument/2006/relationships/hyperlink" Target="http://sm.016.006305.07.bh" TargetMode="External"/><Relationship Id="rId177" Type="http://schemas.openxmlformats.org/officeDocument/2006/relationships/hyperlink" Target="http://sm.016.006235.07.bh" TargetMode="External"/><Relationship Id="rId20" Type="http://schemas.openxmlformats.org/officeDocument/2006/relationships/hyperlink" Target="http://se.008.000083.09.au" TargetMode="External"/><Relationship Id="rId22" Type="http://schemas.openxmlformats.org/officeDocument/2006/relationships/hyperlink" Target="http://se.008.000098.09.ae" TargetMode="External"/><Relationship Id="rId21" Type="http://schemas.openxmlformats.org/officeDocument/2006/relationships/hyperlink" Target="http://se.008.000084.09.au" TargetMode="External"/><Relationship Id="rId24" Type="http://schemas.openxmlformats.org/officeDocument/2006/relationships/hyperlink" Target="http://se.008.000145.09.aw" TargetMode="External"/><Relationship Id="rId23" Type="http://schemas.openxmlformats.org/officeDocument/2006/relationships/hyperlink" Target="http://se.008.000115.05.at" TargetMode="External"/><Relationship Id="rId26" Type="http://schemas.openxmlformats.org/officeDocument/2006/relationships/hyperlink" Target="http://se.010.000392.03.ar" TargetMode="External"/><Relationship Id="rId25" Type="http://schemas.openxmlformats.org/officeDocument/2006/relationships/hyperlink" Target="http://se.009.000912.07.bh" TargetMode="External"/><Relationship Id="rId28" Type="http://schemas.openxmlformats.org/officeDocument/2006/relationships/hyperlink" Target="http://se.015.000077.19.aq" TargetMode="External"/><Relationship Id="rId27" Type="http://schemas.openxmlformats.org/officeDocument/2006/relationships/hyperlink" Target="http://se.010.002543.08.am" TargetMode="External"/><Relationship Id="rId29" Type="http://schemas.openxmlformats.org/officeDocument/2006/relationships/hyperlink" Target="http://se.019.000070.03.ar" TargetMode="External"/><Relationship Id="rId11" Type="http://schemas.openxmlformats.org/officeDocument/2006/relationships/hyperlink" Target="http://se.006.000680.03.ar" TargetMode="External"/><Relationship Id="rId10" Type="http://schemas.openxmlformats.org/officeDocument/2006/relationships/hyperlink" Target="http://se.006.000669.08.am" TargetMode="External"/><Relationship Id="rId13" Type="http://schemas.openxmlformats.org/officeDocument/2006/relationships/hyperlink" Target="http://se.007.000461.08.au" TargetMode="External"/><Relationship Id="rId12" Type="http://schemas.openxmlformats.org/officeDocument/2006/relationships/hyperlink" Target="http://se.007.000460.08.au" TargetMode="External"/><Relationship Id="rId15" Type="http://schemas.openxmlformats.org/officeDocument/2006/relationships/hyperlink" Target="http://se.007.000943.03.ar" TargetMode="External"/><Relationship Id="rId198" Type="http://schemas.openxmlformats.org/officeDocument/2006/relationships/hyperlink" Target="http://sm.016.006909.08.am/" TargetMode="External"/><Relationship Id="rId14" Type="http://schemas.openxmlformats.org/officeDocument/2006/relationships/hyperlink" Target="http://se.007.000937.09.am" TargetMode="External"/><Relationship Id="rId197" Type="http://schemas.openxmlformats.org/officeDocument/2006/relationships/hyperlink" Target="http://sm.016.006908.08.am" TargetMode="External"/><Relationship Id="rId17" Type="http://schemas.openxmlformats.org/officeDocument/2006/relationships/hyperlink" Target="http://se.007.001103.08.am" TargetMode="External"/><Relationship Id="rId196" Type="http://schemas.openxmlformats.org/officeDocument/2006/relationships/hyperlink" Target="http://sm.016.006907.08.am" TargetMode="External"/><Relationship Id="rId16" Type="http://schemas.openxmlformats.org/officeDocument/2006/relationships/hyperlink" Target="http://se.007.000951.05.at" TargetMode="External"/><Relationship Id="rId195" Type="http://schemas.openxmlformats.org/officeDocument/2006/relationships/hyperlink" Target="http://sm.016.006906.08.am" TargetMode="External"/><Relationship Id="rId19" Type="http://schemas.openxmlformats.org/officeDocument/2006/relationships/hyperlink" Target="http://se.007.006040.07.bh" TargetMode="External"/><Relationship Id="rId18" Type="http://schemas.openxmlformats.org/officeDocument/2006/relationships/hyperlink" Target="http://se.007.001146.08.am" TargetMode="External"/><Relationship Id="rId199" Type="http://schemas.openxmlformats.org/officeDocument/2006/relationships/hyperlink" Target="http://sm.016.006915.08.am" TargetMode="External"/><Relationship Id="rId84" Type="http://schemas.openxmlformats.org/officeDocument/2006/relationships/hyperlink" Target="http://sm.008.002060.08.am" TargetMode="External"/><Relationship Id="rId83" Type="http://schemas.openxmlformats.org/officeDocument/2006/relationships/hyperlink" Target="http://sm.008.002059.05.at" TargetMode="External"/><Relationship Id="rId86" Type="http://schemas.openxmlformats.org/officeDocument/2006/relationships/hyperlink" Target="http://sm.008.003076.03.ar" TargetMode="External"/><Relationship Id="rId85" Type="http://schemas.openxmlformats.org/officeDocument/2006/relationships/hyperlink" Target="http://sm.008.003047.07.bh" TargetMode="External"/><Relationship Id="rId88" Type="http://schemas.openxmlformats.org/officeDocument/2006/relationships/hyperlink" Target="http://sm.010.002518.09.au" TargetMode="External"/><Relationship Id="rId150" Type="http://schemas.openxmlformats.org/officeDocument/2006/relationships/hyperlink" Target="http://sm.016.004481.09.au" TargetMode="External"/><Relationship Id="rId87" Type="http://schemas.openxmlformats.org/officeDocument/2006/relationships/hyperlink" Target="http://sm.010.002433.08.am" TargetMode="External"/><Relationship Id="rId89" Type="http://schemas.openxmlformats.org/officeDocument/2006/relationships/hyperlink" Target="http://sm.010.002535.08.am" TargetMode="External"/><Relationship Id="rId80" Type="http://schemas.openxmlformats.org/officeDocument/2006/relationships/hyperlink" Target="http://sm.008.002010.07.bh" TargetMode="External"/><Relationship Id="rId82" Type="http://schemas.openxmlformats.org/officeDocument/2006/relationships/hyperlink" Target="http://sm.008.002032.05.at" TargetMode="External"/><Relationship Id="rId81" Type="http://schemas.openxmlformats.org/officeDocument/2006/relationships/hyperlink" Target="http://sm.008.002013.07.bh" TargetMode="External"/><Relationship Id="rId1" Type="http://schemas.openxmlformats.org/officeDocument/2006/relationships/hyperlink" Target="http://se.001.000462.08.am" TargetMode="External"/><Relationship Id="rId2" Type="http://schemas.openxmlformats.org/officeDocument/2006/relationships/hyperlink" Target="http://se.004.000136.08.am" TargetMode="External"/><Relationship Id="rId3" Type="http://schemas.openxmlformats.org/officeDocument/2006/relationships/hyperlink" Target="http://se.005.000516.03.ar" TargetMode="External"/><Relationship Id="rId149" Type="http://schemas.openxmlformats.org/officeDocument/2006/relationships/hyperlink" Target="http://sm.016.004480.09.au" TargetMode="External"/><Relationship Id="rId4" Type="http://schemas.openxmlformats.org/officeDocument/2006/relationships/hyperlink" Target="http://se.005.000602.05.at" TargetMode="External"/><Relationship Id="rId148" Type="http://schemas.openxmlformats.org/officeDocument/2006/relationships/hyperlink" Target="http://sm.016.004389.09.au" TargetMode="External"/><Relationship Id="rId9" Type="http://schemas.openxmlformats.org/officeDocument/2006/relationships/hyperlink" Target="http://se.005.001813.08.am" TargetMode="External"/><Relationship Id="rId143" Type="http://schemas.openxmlformats.org/officeDocument/2006/relationships/hyperlink" Target="http://sm.016.004215.09.au" TargetMode="External"/><Relationship Id="rId142" Type="http://schemas.openxmlformats.org/officeDocument/2006/relationships/hyperlink" Target="http://sm.016.004204.08.am" TargetMode="External"/><Relationship Id="rId141" Type="http://schemas.openxmlformats.org/officeDocument/2006/relationships/hyperlink" Target="http://sm.016.004035.05.at" TargetMode="External"/><Relationship Id="rId140" Type="http://schemas.openxmlformats.org/officeDocument/2006/relationships/hyperlink" Target="http://sm.016.003975.09.au" TargetMode="External"/><Relationship Id="rId5" Type="http://schemas.openxmlformats.org/officeDocument/2006/relationships/hyperlink" Target="http://se.005.000609.03.ar" TargetMode="External"/><Relationship Id="rId147" Type="http://schemas.openxmlformats.org/officeDocument/2006/relationships/hyperlink" Target="http://sm.016.004381.09.au" TargetMode="External"/><Relationship Id="rId6" Type="http://schemas.openxmlformats.org/officeDocument/2006/relationships/hyperlink" Target="http://se.005.000642.09.ae" TargetMode="External"/><Relationship Id="rId146" Type="http://schemas.openxmlformats.org/officeDocument/2006/relationships/hyperlink" Target="http://sm.016.004325.05.at" TargetMode="External"/><Relationship Id="rId7" Type="http://schemas.openxmlformats.org/officeDocument/2006/relationships/hyperlink" Target="http://se.005.001762.05.at" TargetMode="External"/><Relationship Id="rId145" Type="http://schemas.openxmlformats.org/officeDocument/2006/relationships/hyperlink" Target="http://sm.016.004321.05.at" TargetMode="External"/><Relationship Id="rId8" Type="http://schemas.openxmlformats.org/officeDocument/2006/relationships/hyperlink" Target="http://se.005.001811.08.am" TargetMode="External"/><Relationship Id="rId144" Type="http://schemas.openxmlformats.org/officeDocument/2006/relationships/hyperlink" Target="http://sm.016.004217.09.au" TargetMode="External"/><Relationship Id="rId73" Type="http://schemas.openxmlformats.org/officeDocument/2006/relationships/hyperlink" Target="http://sm.008.001980.05.at" TargetMode="External"/><Relationship Id="rId72" Type="http://schemas.openxmlformats.org/officeDocument/2006/relationships/hyperlink" Target="http://sm.008.001979.05.at" TargetMode="External"/><Relationship Id="rId75" Type="http://schemas.openxmlformats.org/officeDocument/2006/relationships/hyperlink" Target="http://sm.008.001986.09.au" TargetMode="External"/><Relationship Id="rId74" Type="http://schemas.openxmlformats.org/officeDocument/2006/relationships/hyperlink" Target="http://sm.008.001981.05.at" TargetMode="External"/><Relationship Id="rId77" Type="http://schemas.openxmlformats.org/officeDocument/2006/relationships/hyperlink" Target="http://sm.008.001995.05.at" TargetMode="External"/><Relationship Id="rId76" Type="http://schemas.openxmlformats.org/officeDocument/2006/relationships/hyperlink" Target="http://sm.008.001987.09.au" TargetMode="External"/><Relationship Id="rId79" Type="http://schemas.openxmlformats.org/officeDocument/2006/relationships/hyperlink" Target="http://sm.008.002006.07.bh" TargetMode="External"/><Relationship Id="rId78" Type="http://schemas.openxmlformats.org/officeDocument/2006/relationships/hyperlink" Target="http://sm.008.002001.07.bh" TargetMode="External"/><Relationship Id="rId71" Type="http://schemas.openxmlformats.org/officeDocument/2006/relationships/hyperlink" Target="http://sm.008.001946.08.am" TargetMode="External"/><Relationship Id="rId70" Type="http://schemas.openxmlformats.org/officeDocument/2006/relationships/hyperlink" Target="http://sm.008.001656.08.am" TargetMode="External"/><Relationship Id="rId139" Type="http://schemas.openxmlformats.org/officeDocument/2006/relationships/hyperlink" Target="http://sm.016.003974.09.au" TargetMode="External"/><Relationship Id="rId138" Type="http://schemas.openxmlformats.org/officeDocument/2006/relationships/hyperlink" Target="http://sm.016.003881.09.aw" TargetMode="External"/><Relationship Id="rId137" Type="http://schemas.openxmlformats.org/officeDocument/2006/relationships/hyperlink" Target="http://sm.016.003817.09.au" TargetMode="External"/><Relationship Id="rId132" Type="http://schemas.openxmlformats.org/officeDocument/2006/relationships/hyperlink" Target="http://sm.016.003598.08.am" TargetMode="External"/><Relationship Id="rId131" Type="http://schemas.openxmlformats.org/officeDocument/2006/relationships/hyperlink" Target="http://sm.016.003244.08.am" TargetMode="External"/><Relationship Id="rId130" Type="http://schemas.openxmlformats.org/officeDocument/2006/relationships/hyperlink" Target="http://sm.016.003031.08.am" TargetMode="External"/><Relationship Id="rId136" Type="http://schemas.openxmlformats.org/officeDocument/2006/relationships/hyperlink" Target="http://sm.016.003808.09.au" TargetMode="External"/><Relationship Id="rId135" Type="http://schemas.openxmlformats.org/officeDocument/2006/relationships/hyperlink" Target="http://sm.016.003806.09.au" TargetMode="External"/><Relationship Id="rId134" Type="http://schemas.openxmlformats.org/officeDocument/2006/relationships/hyperlink" Target="http://sm.016.003805.09.au" TargetMode="External"/><Relationship Id="rId133" Type="http://schemas.openxmlformats.org/officeDocument/2006/relationships/hyperlink" Target="http://sm.016.003599.08.am" TargetMode="External"/><Relationship Id="rId62" Type="http://schemas.openxmlformats.org/officeDocument/2006/relationships/hyperlink" Target="http://sm.006.000844.05.at" TargetMode="External"/><Relationship Id="rId61" Type="http://schemas.openxmlformats.org/officeDocument/2006/relationships/hyperlink" Target="http://sm.006.000212.09.au" TargetMode="External"/><Relationship Id="rId64" Type="http://schemas.openxmlformats.org/officeDocument/2006/relationships/hyperlink" Target="http://sm.008.000450.07.bh" TargetMode="External"/><Relationship Id="rId63" Type="http://schemas.openxmlformats.org/officeDocument/2006/relationships/hyperlink" Target="http://sm.006.004628.09.am" TargetMode="External"/><Relationship Id="rId66" Type="http://schemas.openxmlformats.org/officeDocument/2006/relationships/hyperlink" Target="http://sm.008.001650.08.am" TargetMode="External"/><Relationship Id="rId172" Type="http://schemas.openxmlformats.org/officeDocument/2006/relationships/hyperlink" Target="http://sm.016.005685.07.bh" TargetMode="External"/><Relationship Id="rId65" Type="http://schemas.openxmlformats.org/officeDocument/2006/relationships/hyperlink" Target="http://sm.008.001499.09.au" TargetMode="External"/><Relationship Id="rId171" Type="http://schemas.openxmlformats.org/officeDocument/2006/relationships/hyperlink" Target="http://sm.016.005666.08.am" TargetMode="External"/><Relationship Id="rId68" Type="http://schemas.openxmlformats.org/officeDocument/2006/relationships/hyperlink" Target="http://sm.008.001652.08.am" TargetMode="External"/><Relationship Id="rId170" Type="http://schemas.openxmlformats.org/officeDocument/2006/relationships/hyperlink" Target="http://sm.016.005653.07.bh" TargetMode="External"/><Relationship Id="rId67" Type="http://schemas.openxmlformats.org/officeDocument/2006/relationships/hyperlink" Target="http://sm.008.001651.08.am" TargetMode="External"/><Relationship Id="rId60" Type="http://schemas.openxmlformats.org/officeDocument/2006/relationships/hyperlink" Target="http://sm.005.001815.07.bh" TargetMode="External"/><Relationship Id="rId165" Type="http://schemas.openxmlformats.org/officeDocument/2006/relationships/hyperlink" Target="http://sm.016.005461.07.bh" TargetMode="External"/><Relationship Id="rId69" Type="http://schemas.openxmlformats.org/officeDocument/2006/relationships/hyperlink" Target="http://sm.008.001653.08.am" TargetMode="External"/><Relationship Id="rId164" Type="http://schemas.openxmlformats.org/officeDocument/2006/relationships/hyperlink" Target="http://sm.016.005455.07.bh" TargetMode="External"/><Relationship Id="rId163" Type="http://schemas.openxmlformats.org/officeDocument/2006/relationships/hyperlink" Target="http://sm.016.005370.08.am" TargetMode="External"/><Relationship Id="rId162" Type="http://schemas.openxmlformats.org/officeDocument/2006/relationships/hyperlink" Target="http://sm.016.005346.09.au" TargetMode="External"/><Relationship Id="rId169" Type="http://schemas.openxmlformats.org/officeDocument/2006/relationships/hyperlink" Target="http://sm.016.005649.07.bh" TargetMode="External"/><Relationship Id="rId168" Type="http://schemas.openxmlformats.org/officeDocument/2006/relationships/hyperlink" Target="http://sm.016.005647.07.bh" TargetMode="External"/><Relationship Id="rId167" Type="http://schemas.openxmlformats.org/officeDocument/2006/relationships/hyperlink" Target="http://sm.016.005637.07.bh" TargetMode="External"/><Relationship Id="rId166" Type="http://schemas.openxmlformats.org/officeDocument/2006/relationships/hyperlink" Target="http://sm.016.005636.07.bh" TargetMode="External"/><Relationship Id="rId51" Type="http://schemas.openxmlformats.org/officeDocument/2006/relationships/hyperlink" Target="http://sm.005.001734.08.am" TargetMode="External"/><Relationship Id="rId50" Type="http://schemas.openxmlformats.org/officeDocument/2006/relationships/hyperlink" Target="http://sm.005.001691.05.at" TargetMode="External"/><Relationship Id="rId53" Type="http://schemas.openxmlformats.org/officeDocument/2006/relationships/hyperlink" Target="http://sm.005.001763.07.bh" TargetMode="External"/><Relationship Id="rId52" Type="http://schemas.openxmlformats.org/officeDocument/2006/relationships/hyperlink" Target="http://sm.005.001761.07.bh" TargetMode="External"/><Relationship Id="rId55" Type="http://schemas.openxmlformats.org/officeDocument/2006/relationships/hyperlink" Target="http://sm.005.001766.07.bh" TargetMode="External"/><Relationship Id="rId161" Type="http://schemas.openxmlformats.org/officeDocument/2006/relationships/hyperlink" Target="http://sm.016.005342.08.am" TargetMode="External"/><Relationship Id="rId54" Type="http://schemas.openxmlformats.org/officeDocument/2006/relationships/hyperlink" Target="http://sm.005.001765.07.bh" TargetMode="External"/><Relationship Id="rId160" Type="http://schemas.openxmlformats.org/officeDocument/2006/relationships/hyperlink" Target="http://sm.016.005339.08.am" TargetMode="External"/><Relationship Id="rId57" Type="http://schemas.openxmlformats.org/officeDocument/2006/relationships/hyperlink" Target="http://sm.005.001769.07.bh" TargetMode="External"/><Relationship Id="rId56" Type="http://schemas.openxmlformats.org/officeDocument/2006/relationships/hyperlink" Target="http://sm.005.001768.07.bh" TargetMode="External"/><Relationship Id="rId159" Type="http://schemas.openxmlformats.org/officeDocument/2006/relationships/hyperlink" Target="http://sm.016.005336.09.af" TargetMode="External"/><Relationship Id="rId59" Type="http://schemas.openxmlformats.org/officeDocument/2006/relationships/hyperlink" Target="http://sm.005.001814.07.bh" TargetMode="External"/><Relationship Id="rId154" Type="http://schemas.openxmlformats.org/officeDocument/2006/relationships/hyperlink" Target="http://sm.016.004635.08.am" TargetMode="External"/><Relationship Id="rId58" Type="http://schemas.openxmlformats.org/officeDocument/2006/relationships/hyperlink" Target="http://sm.005.001813.07.bh" TargetMode="External"/><Relationship Id="rId153" Type="http://schemas.openxmlformats.org/officeDocument/2006/relationships/hyperlink" Target="http://sm.016.004624.08.am" TargetMode="External"/><Relationship Id="rId152" Type="http://schemas.openxmlformats.org/officeDocument/2006/relationships/hyperlink" Target="http://sm.016.004596.07.bh" TargetMode="External"/><Relationship Id="rId151" Type="http://schemas.openxmlformats.org/officeDocument/2006/relationships/hyperlink" Target="http://sm.016.004482.09.au" TargetMode="External"/><Relationship Id="rId158" Type="http://schemas.openxmlformats.org/officeDocument/2006/relationships/hyperlink" Target="http://sm.016.005317.08.am" TargetMode="External"/><Relationship Id="rId157" Type="http://schemas.openxmlformats.org/officeDocument/2006/relationships/hyperlink" Target="http://sm.016.004777.08.am" TargetMode="External"/><Relationship Id="rId156" Type="http://schemas.openxmlformats.org/officeDocument/2006/relationships/hyperlink" Target="http://sm.016.004761.08.au" TargetMode="External"/><Relationship Id="rId155" Type="http://schemas.openxmlformats.org/officeDocument/2006/relationships/hyperlink" Target="http://sm.016.004756.08.au" TargetMode="External"/><Relationship Id="rId107" Type="http://schemas.openxmlformats.org/officeDocument/2006/relationships/hyperlink" Target="http://sm.013.000114.05.at" TargetMode="External"/><Relationship Id="rId106" Type="http://schemas.openxmlformats.org/officeDocument/2006/relationships/hyperlink" Target="http://sm.013.000112.05.at" TargetMode="External"/><Relationship Id="rId105" Type="http://schemas.openxmlformats.org/officeDocument/2006/relationships/hyperlink" Target="http://sm.013.000109.05.at" TargetMode="External"/><Relationship Id="rId104" Type="http://schemas.openxmlformats.org/officeDocument/2006/relationships/hyperlink" Target="http://sm.012.003017.06.bo" TargetMode="External"/><Relationship Id="rId109" Type="http://schemas.openxmlformats.org/officeDocument/2006/relationships/hyperlink" Target="http://sm.013.000525.09.af" TargetMode="External"/><Relationship Id="rId108" Type="http://schemas.openxmlformats.org/officeDocument/2006/relationships/hyperlink" Target="http://sm.013.000131.08.am" TargetMode="External"/><Relationship Id="rId103" Type="http://schemas.openxmlformats.org/officeDocument/2006/relationships/hyperlink" Target="http://sm.012.002421.08.am" TargetMode="External"/><Relationship Id="rId102" Type="http://schemas.openxmlformats.org/officeDocument/2006/relationships/hyperlink" Target="http://sm.012.002408.08.am" TargetMode="External"/><Relationship Id="rId101" Type="http://schemas.openxmlformats.org/officeDocument/2006/relationships/hyperlink" Target="http://sm.012.001195.05.at" TargetMode="External"/><Relationship Id="rId100" Type="http://schemas.openxmlformats.org/officeDocument/2006/relationships/hyperlink" Target="http://sm.012.000849.08.am" TargetMode="External"/><Relationship Id="rId129" Type="http://schemas.openxmlformats.org/officeDocument/2006/relationships/hyperlink" Target="http://sm.015.003989.19.aq" TargetMode="External"/><Relationship Id="rId128" Type="http://schemas.openxmlformats.org/officeDocument/2006/relationships/hyperlink" Target="http://sm.015.003740.19.aq" TargetMode="External"/><Relationship Id="rId127" Type="http://schemas.openxmlformats.org/officeDocument/2006/relationships/hyperlink" Target="http://sm.015.000038.19.aq" TargetMode="External"/><Relationship Id="rId126" Type="http://schemas.openxmlformats.org/officeDocument/2006/relationships/hyperlink" Target="http://sm.014.001344.07.bh" TargetMode="External"/><Relationship Id="rId121" Type="http://schemas.openxmlformats.org/officeDocument/2006/relationships/hyperlink" Target="http://sm.014.000024.09.aw" TargetMode="External"/><Relationship Id="rId120" Type="http://schemas.openxmlformats.org/officeDocument/2006/relationships/hyperlink" Target="http://sm.014.000001.07.bh" TargetMode="External"/><Relationship Id="rId125" Type="http://schemas.openxmlformats.org/officeDocument/2006/relationships/hyperlink" Target="http://sm.014.001322.09.au" TargetMode="External"/><Relationship Id="rId124" Type="http://schemas.openxmlformats.org/officeDocument/2006/relationships/hyperlink" Target="http://sm.014.001093.09.af" TargetMode="External"/><Relationship Id="rId123" Type="http://schemas.openxmlformats.org/officeDocument/2006/relationships/hyperlink" Target="http://sm.014.000159.05.at" TargetMode="External"/><Relationship Id="rId122" Type="http://schemas.openxmlformats.org/officeDocument/2006/relationships/hyperlink" Target="http://sm.014.000158.05.at" TargetMode="External"/><Relationship Id="rId95" Type="http://schemas.openxmlformats.org/officeDocument/2006/relationships/hyperlink" Target="http://sm.011.002408.05.at" TargetMode="External"/><Relationship Id="rId94" Type="http://schemas.openxmlformats.org/officeDocument/2006/relationships/hyperlink" Target="http://sm.011.002337.09.am" TargetMode="External"/><Relationship Id="rId97" Type="http://schemas.openxmlformats.org/officeDocument/2006/relationships/hyperlink" Target="http://sm.012.000770.09.ae" TargetMode="External"/><Relationship Id="rId96" Type="http://schemas.openxmlformats.org/officeDocument/2006/relationships/hyperlink" Target="http://sm.012.000608.08.au" TargetMode="External"/><Relationship Id="rId99" Type="http://schemas.openxmlformats.org/officeDocument/2006/relationships/hyperlink" Target="http://sm.012.000834.08.am" TargetMode="External"/><Relationship Id="rId98" Type="http://schemas.openxmlformats.org/officeDocument/2006/relationships/hyperlink" Target="http://sm.012.000832.08.am" TargetMode="External"/><Relationship Id="rId91" Type="http://schemas.openxmlformats.org/officeDocument/2006/relationships/hyperlink" Target="http://sm.010.002643.14.ba" TargetMode="External"/><Relationship Id="rId90" Type="http://schemas.openxmlformats.org/officeDocument/2006/relationships/hyperlink" Target="http://sm.010.002639.14.ba" TargetMode="External"/><Relationship Id="rId93" Type="http://schemas.openxmlformats.org/officeDocument/2006/relationships/hyperlink" Target="http://sm.011.002336.09.am" TargetMode="External"/><Relationship Id="rId92" Type="http://schemas.openxmlformats.org/officeDocument/2006/relationships/hyperlink" Target="http://sm.011.000571.05.at" TargetMode="External"/><Relationship Id="rId118" Type="http://schemas.openxmlformats.org/officeDocument/2006/relationships/hyperlink" Target="http://sm.013.000732.08.am" TargetMode="External"/><Relationship Id="rId117" Type="http://schemas.openxmlformats.org/officeDocument/2006/relationships/hyperlink" Target="http://sm.013.000730.08.am" TargetMode="External"/><Relationship Id="rId116" Type="http://schemas.openxmlformats.org/officeDocument/2006/relationships/hyperlink" Target="http://sm.013.000729.08.am" TargetMode="External"/><Relationship Id="rId115" Type="http://schemas.openxmlformats.org/officeDocument/2006/relationships/hyperlink" Target="http://sm.013.000683.08.am" TargetMode="External"/><Relationship Id="rId119" Type="http://schemas.openxmlformats.org/officeDocument/2006/relationships/hyperlink" Target="http://sm.013.000741.08.am" TargetMode="External"/><Relationship Id="rId110" Type="http://schemas.openxmlformats.org/officeDocument/2006/relationships/hyperlink" Target="http://sm.013.000538.08.am" TargetMode="External"/><Relationship Id="rId114" Type="http://schemas.openxmlformats.org/officeDocument/2006/relationships/hyperlink" Target="http://sm.013.000674.07.bh" TargetMode="External"/><Relationship Id="rId113" Type="http://schemas.openxmlformats.org/officeDocument/2006/relationships/hyperlink" Target="http://sm.013.000673.07.bh" TargetMode="External"/><Relationship Id="rId112" Type="http://schemas.openxmlformats.org/officeDocument/2006/relationships/hyperlink" Target="http://sm.013.000636.09.au" TargetMode="External"/><Relationship Id="rId111" Type="http://schemas.openxmlformats.org/officeDocument/2006/relationships/hyperlink" Target="http://sm.013.000580.09.af" TargetMode="External"/><Relationship Id="rId203" Type="http://schemas.openxmlformats.org/officeDocument/2006/relationships/drawing" Target="../drawings/drawing3.xml"/><Relationship Id="rId202" Type="http://schemas.openxmlformats.org/officeDocument/2006/relationships/hyperlink" Target="http://sm.016.006986.08.au" TargetMode="External"/><Relationship Id="rId201" Type="http://schemas.openxmlformats.org/officeDocument/2006/relationships/hyperlink" Target="http://sm.016.006931.08.au" TargetMode="External"/><Relationship Id="rId200" Type="http://schemas.openxmlformats.org/officeDocument/2006/relationships/hyperlink" Target="http://sm.016.006930.08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75"/>
    <col customWidth="1" min="4" max="7" width="18.88"/>
    <col customWidth="1" min="8" max="8" width="13.75"/>
    <col customWidth="1" min="9" max="16" width="18.88"/>
  </cols>
  <sheetData>
    <row r="1" ht="22.5" customHeight="1">
      <c r="A1" s="7" t="s">
        <v>13</v>
      </c>
      <c r="B1" s="7" t="s">
        <v>18</v>
      </c>
      <c r="C1" s="7" t="s">
        <v>1</v>
      </c>
      <c r="D1" s="7" t="s">
        <v>19</v>
      </c>
      <c r="E1" s="7" t="s">
        <v>22</v>
      </c>
      <c r="F1" s="7" t="s">
        <v>24</v>
      </c>
      <c r="G1" s="7" t="s">
        <v>25</v>
      </c>
      <c r="H1" s="7" t="s">
        <v>26</v>
      </c>
      <c r="I1" s="7" t="s">
        <v>29</v>
      </c>
      <c r="J1" s="7" t="s">
        <v>30</v>
      </c>
    </row>
    <row r="2" ht="22.5" customHeight="1">
      <c r="A2" s="8">
        <v>46163.58487680556</v>
      </c>
      <c r="B2" s="9" t="s">
        <v>33</v>
      </c>
      <c r="C2" s="11" t="str">
        <f>VLOOKUP(B2, 'Full List'!B:C, 2, FALSE)</f>
        <v>BEARING-(SR-000-13-0006)</v>
      </c>
      <c r="D2" s="12">
        <f>VLOOKUP(B2, 'Full List'!B:F, 5, FALSE)</f>
        <v>630</v>
      </c>
      <c r="E2" s="12">
        <f>VLOOKUP(B2, 'Full List'!B:G, 6, FALSE)</f>
        <v>861.47</v>
      </c>
      <c r="F2" s="13">
        <f>VLOOKUP(B2, 'Full List'!B:H, 7, FALSE)</f>
        <v>542726.1</v>
      </c>
      <c r="G2" s="16" t="s">
        <v>51</v>
      </c>
      <c r="I2" s="17"/>
      <c r="J2" s="18"/>
    </row>
    <row r="3" ht="22.5" customHeight="1">
      <c r="A3" s="20">
        <v>46163.59230856481</v>
      </c>
      <c r="B3" s="9" t="s">
        <v>57</v>
      </c>
      <c r="C3" s="11" t="str">
        <f>VLOOKUP(B3, 'Full List'!B:C, 2, FALSE)</f>
        <v>BEARING NU 230 ECJ</v>
      </c>
      <c r="D3" s="12">
        <f>VLOOKUP(B3, 'Full List'!B:F, 5, FALSE)</f>
        <v>1</v>
      </c>
      <c r="E3" s="13">
        <f>VLOOKUP(B3, 'Full List'!B:G, 6, FALSE)</f>
        <v>210000</v>
      </c>
      <c r="F3" s="13">
        <f>VLOOKUP(B3, 'Full List'!B:H, 7, FALSE)</f>
        <v>210000</v>
      </c>
      <c r="G3" s="23" t="s">
        <v>68</v>
      </c>
      <c r="I3" s="17"/>
      <c r="J3" s="17"/>
    </row>
    <row r="4" ht="22.5" customHeight="1">
      <c r="A4" s="20">
        <v>46163.609657442124</v>
      </c>
      <c r="B4" s="22" t="s">
        <v>78</v>
      </c>
      <c r="C4" s="12" t="str">
        <f>VLOOKUP(B4, 'Full List'!B:C, 2, FALSE)</f>
        <v>CARD-SMC.085.04.913</v>
      </c>
      <c r="D4" s="12">
        <f>VLOOKUP(B4, 'Full List'!B:F, 5, FALSE)</f>
        <v>1</v>
      </c>
      <c r="E4" s="13">
        <f>VLOOKUP(B4, 'Full List'!B:G, 6, FALSE)</f>
        <v>410350.8</v>
      </c>
      <c r="F4" s="13">
        <f>VLOOKUP(B4, 'Full List'!B:H, 7, FALSE)</f>
        <v>410350.8</v>
      </c>
      <c r="G4" s="23" t="s">
        <v>91</v>
      </c>
      <c r="I4" s="17"/>
      <c r="J4" s="17"/>
    </row>
    <row r="5" ht="22.5" customHeight="1">
      <c r="A5" s="20">
        <v>46163.613659386574</v>
      </c>
      <c r="B5" s="22" t="s">
        <v>101</v>
      </c>
      <c r="C5" s="12" t="str">
        <f>VLOOKUP(B5, 'Full List'!B:C, 2, FALSE)</f>
        <v>CARD-SMC.085.05.903</v>
      </c>
      <c r="D5" s="12">
        <f>VLOOKUP(B5, 'Full List'!B:F, 5, FALSE)</f>
        <v>3</v>
      </c>
      <c r="E5" s="13">
        <f>VLOOKUP(B5, 'Full List'!B:G, 6, FALSE)</f>
        <v>81012.74</v>
      </c>
      <c r="F5" s="13">
        <f>VLOOKUP(B5, 'Full List'!B:H, 7, FALSE)</f>
        <v>243038.22</v>
      </c>
      <c r="G5" s="24" t="s">
        <v>109</v>
      </c>
      <c r="I5" s="17"/>
      <c r="J5" s="17"/>
    </row>
    <row r="6" ht="22.5" customHeight="1">
      <c r="A6" s="20">
        <v>46163.61470560185</v>
      </c>
      <c r="B6" s="22" t="s">
        <v>117</v>
      </c>
      <c r="C6" s="12" t="str">
        <f>VLOOKUP(B6, 'Full List'!B:C, 2, FALSE)</f>
        <v>CARD-SMC.085.05.914</v>
      </c>
      <c r="D6" s="12">
        <f>VLOOKUP(B6, 'Full List'!B:F, 5, FALSE)</f>
        <v>1</v>
      </c>
      <c r="E6" s="13">
        <f>VLOOKUP(B6, 'Full List'!B:G, 6, FALSE)</f>
        <v>363427.23</v>
      </c>
      <c r="F6" s="13">
        <f>VLOOKUP(B6, 'Full List'!B:H, 7, FALSE)</f>
        <v>363427.23</v>
      </c>
      <c r="G6" s="24" t="s">
        <v>127</v>
      </c>
      <c r="I6" s="17"/>
      <c r="J6" s="17"/>
    </row>
    <row r="7" ht="22.5" customHeight="1">
      <c r="A7" s="20">
        <v>46163.61638694444</v>
      </c>
      <c r="B7" s="22" t="s">
        <v>135</v>
      </c>
      <c r="C7" s="12" t="str">
        <f>VLOOKUP(B7, 'Full List'!B:C, 2, FALSE)</f>
        <v>#N/A</v>
      </c>
      <c r="D7" s="12" t="str">
        <f>VLOOKUP(B7, 'Full List'!B:F, 5, FALSE)</f>
        <v>#N/A</v>
      </c>
      <c r="E7" s="12" t="str">
        <f>VLOOKUP(B7, 'Full List'!B:G, 6, FALSE)</f>
        <v>#N/A</v>
      </c>
      <c r="F7" s="12" t="str">
        <f>VLOOKUP(B7, 'Full List'!B:H, 7, FALSE)</f>
        <v>#N/A</v>
      </c>
      <c r="G7" s="24" t="s">
        <v>142</v>
      </c>
      <c r="I7" s="17"/>
      <c r="J7" s="17"/>
    </row>
    <row r="8" ht="22.5" customHeight="1">
      <c r="A8" s="20">
        <v>46163.61663060186</v>
      </c>
      <c r="B8" s="22" t="s">
        <v>154</v>
      </c>
      <c r="C8" s="12" t="str">
        <f>VLOOKUP(B8, 'Full List'!B:C, 2, FALSE)</f>
        <v>CARD-SMC.085.08.922</v>
      </c>
      <c r="D8" s="12">
        <f>VLOOKUP(B8, 'Full List'!B:F, 5, FALSE)</f>
        <v>3</v>
      </c>
      <c r="E8" s="13">
        <f>VLOOKUP(B8, 'Full List'!B:G, 6, FALSE)</f>
        <v>773263.52</v>
      </c>
      <c r="F8" s="13">
        <f>VLOOKUP(B8, 'Full List'!B:H, 7, FALSE)</f>
        <v>2319790.56</v>
      </c>
      <c r="G8" s="23" t="s">
        <v>162</v>
      </c>
      <c r="I8" s="17"/>
      <c r="J8" s="17"/>
    </row>
    <row r="9" ht="22.5" customHeight="1">
      <c r="A9" s="20">
        <v>46163.61814177083</v>
      </c>
      <c r="B9" s="22" t="s">
        <v>170</v>
      </c>
      <c r="C9" s="12" t="str">
        <f>VLOOKUP(B9, 'Full List'!B:C, 2, FALSE)</f>
        <v>CARD-SMC.085.10.975-SMC.085.15.934</v>
      </c>
      <c r="D9" s="12">
        <f>VLOOKUP(B9, 'Full List'!B:F, 5, FALSE)</f>
        <v>3</v>
      </c>
      <c r="E9" s="13">
        <f>VLOOKUP(B9, 'Full List'!B:G, 6, FALSE)</f>
        <v>905821.77</v>
      </c>
      <c r="F9" s="13">
        <f>VLOOKUP(B9, 'Full List'!B:H, 7, FALSE)</f>
        <v>2717465.31</v>
      </c>
      <c r="G9" s="24" t="s">
        <v>179</v>
      </c>
      <c r="I9" s="17"/>
      <c r="J9" s="17"/>
    </row>
    <row r="10" ht="22.5" customHeight="1">
      <c r="A10" s="20">
        <v>46163.61818359954</v>
      </c>
      <c r="B10" s="22" t="s">
        <v>183</v>
      </c>
      <c r="C10" s="12" t="str">
        <f>VLOOKUP(B10, 'Full List'!B:C, 2, FALSE)</f>
        <v>CARD-SMC.085.17.920</v>
      </c>
      <c r="D10" s="12">
        <f>VLOOKUP(B10, 'Full List'!B:F, 5, FALSE)</f>
        <v>2</v>
      </c>
      <c r="E10" s="13">
        <f>VLOOKUP(B10, 'Full List'!B:G, 6, FALSE)</f>
        <v>667696.56</v>
      </c>
      <c r="F10" s="13">
        <f>VLOOKUP(B10, 'Full List'!B:H, 7, FALSE)</f>
        <v>1335393.12</v>
      </c>
      <c r="G10" s="23" t="s">
        <v>190</v>
      </c>
      <c r="I10" s="17"/>
      <c r="J10" s="17"/>
    </row>
    <row r="11" ht="22.5" customHeight="1">
      <c r="A11" s="20">
        <v>46163.69081322917</v>
      </c>
      <c r="B11" s="22" t="s">
        <v>198</v>
      </c>
      <c r="C11" s="12" t="str">
        <f>VLOOKUP(B11, 'Full List'!B:C, 2, FALSE)</f>
        <v>CARD-SMC.086.01.940</v>
      </c>
      <c r="D11" s="12">
        <f>VLOOKUP(B11, 'Full List'!B:F, 5, FALSE)</f>
        <v>1</v>
      </c>
      <c r="E11" s="13">
        <f>VLOOKUP(B11, 'Full List'!B:G, 6, FALSE)</f>
        <v>294594.69</v>
      </c>
      <c r="F11" s="13">
        <f>VLOOKUP(B11, 'Full List'!B:H, 7, FALSE)</f>
        <v>294594.69</v>
      </c>
      <c r="G11" s="24" t="s">
        <v>206</v>
      </c>
      <c r="I11" s="17"/>
      <c r="J11" s="17"/>
    </row>
    <row r="12" ht="22.5" customHeight="1">
      <c r="A12" s="20">
        <v>46163.691079027776</v>
      </c>
      <c r="B12" s="22" t="s">
        <v>211</v>
      </c>
      <c r="C12" s="12" t="str">
        <f>VLOOKUP(B12, 'Full List'!B:C, 2, FALSE)</f>
        <v>CARD-SMC.085.17.907</v>
      </c>
      <c r="D12" s="12">
        <f>VLOOKUP(B12, 'Full List'!B:F, 5, FALSE)</f>
        <v>2</v>
      </c>
      <c r="E12" s="13">
        <f>VLOOKUP(B12, 'Full List'!B:G, 6, FALSE)</f>
        <v>878669.27</v>
      </c>
      <c r="F12" s="13">
        <f>VLOOKUP(B12, 'Full List'!B:H, 7, FALSE)</f>
        <v>1757338.54</v>
      </c>
      <c r="G12" s="24" t="s">
        <v>217</v>
      </c>
      <c r="I12" s="17"/>
      <c r="J12" s="17"/>
    </row>
    <row r="13" ht="22.5" customHeight="1">
      <c r="A13" s="20">
        <v>46164.40455950232</v>
      </c>
      <c r="B13" s="22" t="s">
        <v>228</v>
      </c>
      <c r="C13" s="12" t="str">
        <f>VLOOKUP(B13, 'Full List'!B:C, 2, FALSE)</f>
        <v>CARD"OR" SMC08504950-P2 20.1.6</v>
      </c>
      <c r="D13" s="12">
        <f>VLOOKUP(B13, 'Full List'!B:F, 5, FALSE)</f>
        <v>1</v>
      </c>
      <c r="E13" s="13">
        <f>VLOOKUP(B13, 'Full List'!B:G, 6, FALSE)</f>
        <v>684723.55</v>
      </c>
      <c r="F13" s="13">
        <f>VLOOKUP(B13, 'Full List'!B:H, 7, FALSE)</f>
        <v>684723.55</v>
      </c>
      <c r="G13" s="24" t="s">
        <v>233</v>
      </c>
      <c r="I13" s="17"/>
      <c r="J13" s="17"/>
    </row>
    <row r="14" ht="22.5" customHeight="1">
      <c r="A14" s="20">
        <v>46164.40571251157</v>
      </c>
      <c r="B14" s="22" t="s">
        <v>118</v>
      </c>
      <c r="C14" s="12" t="str">
        <f>VLOOKUP(B14, 'Full List'!B:C, 2, FALSE)</f>
        <v>PHOTOCELL-NPN/NO-M12 PIN TYPE</v>
      </c>
      <c r="D14" s="12">
        <f>VLOOKUP(B14, 'Full List'!B:F, 5, FALSE)</f>
        <v>19</v>
      </c>
      <c r="E14" s="13">
        <f>VLOOKUP(B14, 'Full List'!B:G, 6, FALSE)</f>
        <v>13311.03</v>
      </c>
      <c r="F14" s="13">
        <f>VLOOKUP(B14, 'Full List'!B:H, 7, FALSE)</f>
        <v>252909.57</v>
      </c>
      <c r="G14" s="24" t="s">
        <v>239</v>
      </c>
      <c r="I14" s="17"/>
      <c r="J14" s="17"/>
    </row>
    <row r="15" ht="22.5" customHeight="1">
      <c r="A15" s="20">
        <v>46164.40733857639</v>
      </c>
      <c r="B15" s="22" t="s">
        <v>128</v>
      </c>
      <c r="C15" s="12" t="str">
        <f>VLOOKUP(B15, 'Full List'!B:C, 2, FALSE)</f>
        <v>PHOTOCELL SP2/AP-OE 10CM 24VDC PNP-(7600010014)</v>
      </c>
      <c r="D15" s="12">
        <f>VLOOKUP(B15, 'Full List'!B:F, 5, FALSE)</f>
        <v>24</v>
      </c>
      <c r="E15" s="13">
        <f>VLOOKUP(B15, 'Full List'!B:G, 6, FALSE)</f>
        <v>21686.28</v>
      </c>
      <c r="F15" s="13">
        <f>VLOOKUP(B15, 'Full List'!B:H, 7, FALSE)</f>
        <v>520470.72</v>
      </c>
      <c r="G15" s="24" t="s">
        <v>242</v>
      </c>
      <c r="I15" s="17"/>
      <c r="J15" s="17"/>
    </row>
    <row r="16" ht="22.5" customHeight="1">
      <c r="A16" s="20">
        <v>46164.40760958333</v>
      </c>
      <c r="B16" s="22" t="s">
        <v>115</v>
      </c>
      <c r="C16" s="12" t="str">
        <f>VLOOKUP(B16, 'Full List'!B:C, 2, FALSE)</f>
        <v>OPTICAL SENSOR MET60 TEMA 40530031</v>
      </c>
      <c r="D16" s="12">
        <f>VLOOKUP(B16, 'Full List'!B:F, 5, FALSE)</f>
        <v>3</v>
      </c>
      <c r="E16" s="13">
        <f>VLOOKUP(B16, 'Full List'!B:G, 6, FALSE)</f>
        <v>100818.92</v>
      </c>
      <c r="F16" s="13">
        <f>VLOOKUP(B16, 'Full List'!B:H, 7, FALSE)</f>
        <v>302456.76</v>
      </c>
      <c r="G16" s="23" t="s">
        <v>244</v>
      </c>
      <c r="I16" s="17"/>
      <c r="J16" s="17"/>
    </row>
    <row r="17" ht="22.5" customHeight="1">
      <c r="A17" s="20">
        <v>46164.40809277778</v>
      </c>
      <c r="B17" s="22" t="s">
        <v>130</v>
      </c>
      <c r="C17" s="12" t="str">
        <f>VLOOKUP(B17, 'Full List'!B:C, 2, FALSE)</f>
        <v>PHOTOCELL SP2/AN-OE 10CM 24VDC NPN-(7600010010)</v>
      </c>
      <c r="D17" s="12">
        <f>VLOOKUP(B17, 'Full List'!B:F, 5, FALSE)</f>
        <v>23</v>
      </c>
      <c r="E17" s="13">
        <f>VLOOKUP(B17, 'Full List'!B:G, 6, FALSE)</f>
        <v>21200.6</v>
      </c>
      <c r="F17" s="13">
        <f>VLOOKUP(B17, 'Full List'!B:H, 7, FALSE)</f>
        <v>487613.8</v>
      </c>
      <c r="G17" s="24" t="s">
        <v>247</v>
      </c>
      <c r="I17" s="17"/>
      <c r="J17" s="17"/>
    </row>
    <row r="18" ht="22.5" customHeight="1">
      <c r="A18" s="20">
        <v>46164.409569386575</v>
      </c>
      <c r="B18" s="22" t="s">
        <v>209</v>
      </c>
      <c r="C18" s="12" t="str">
        <f>VLOOKUP(B18, 'Full List'!B:C, 2, FALSE)</f>
        <v>REED SWITCH (SMC) (D-A53C)</v>
      </c>
      <c r="D18" s="12">
        <f>VLOOKUP(B18, 'Full List'!B:F, 5, FALSE)</f>
        <v>14</v>
      </c>
      <c r="E18" s="13">
        <f>VLOOKUP(B18, 'Full List'!B:G, 6, FALSE)</f>
        <v>12883.12</v>
      </c>
      <c r="F18" s="13">
        <f>VLOOKUP(B18, 'Full List'!B:H, 7, FALSE)</f>
        <v>180363.68</v>
      </c>
      <c r="G18" s="24" t="s">
        <v>262</v>
      </c>
      <c r="I18" s="17"/>
      <c r="J18" s="17"/>
    </row>
    <row r="19" ht="22.5" customHeight="1">
      <c r="A19" s="20">
        <v>46164.41272532407</v>
      </c>
      <c r="B19" s="22" t="s">
        <v>188</v>
      </c>
      <c r="C19" s="12" t="str">
        <f>VLOOKUP(B19, 'Full List'!B:C, 2, FALSE)</f>
        <v>PHOTOCELL SP2/LP-1E (SP2/LP-1E0</v>
      </c>
      <c r="D19" s="12">
        <f>VLOOKUP(B19, 'Full List'!B:F, 5, FALSE)</f>
        <v>20</v>
      </c>
      <c r="E19" s="13">
        <f>VLOOKUP(B19, 'Full List'!B:G, 6, FALSE)</f>
        <v>24327</v>
      </c>
      <c r="F19" s="13">
        <f>VLOOKUP(B19, 'Full List'!B:H, 7, FALSE)</f>
        <v>486540</v>
      </c>
      <c r="G19" s="23" t="s">
        <v>270</v>
      </c>
      <c r="I19" s="17"/>
      <c r="J19" s="17"/>
    </row>
    <row r="20" ht="22.5" customHeight="1">
      <c r="A20" s="20">
        <v>46164.4127349537</v>
      </c>
      <c r="B20" s="22" t="s">
        <v>191</v>
      </c>
      <c r="C20" s="12" t="str">
        <f>VLOOKUP(B20, 'Full List'!B:C, 2, FALSE)</f>
        <v>PHOTOCELL SP2/LN-1E (SP2/LN-1E)</v>
      </c>
      <c r="D20" s="12">
        <f>VLOOKUP(B20, 'Full List'!B:F, 5, FALSE)</f>
        <v>11</v>
      </c>
      <c r="E20" s="13">
        <f>VLOOKUP(B20, 'Full List'!B:G, 6, FALSE)</f>
        <v>20698.49</v>
      </c>
      <c r="F20" s="13">
        <f>VLOOKUP(B20, 'Full List'!B:H, 7, FALSE)</f>
        <v>227683.39</v>
      </c>
      <c r="G20" s="24" t="s">
        <v>282</v>
      </c>
      <c r="I20" s="17"/>
      <c r="J20" s="17"/>
    </row>
    <row r="21" ht="22.5" customHeight="1">
      <c r="A21" s="20">
        <v>46164.41276564814</v>
      </c>
      <c r="B21" s="22" t="s">
        <v>290</v>
      </c>
      <c r="C21" s="12" t="str">
        <f>VLOOKUP(B21, 'Full List'!B:C, 2, FALSE)</f>
        <v>INVERTER (4062848)</v>
      </c>
      <c r="D21" s="12">
        <f>VLOOKUP(B21, 'Full List'!B:F, 5, FALSE)</f>
        <v>1</v>
      </c>
      <c r="E21" s="13">
        <f>VLOOKUP(B21, 'Full List'!B:G, 6, FALSE)</f>
        <v>953698.93</v>
      </c>
      <c r="F21" s="13">
        <f>VLOOKUP(B21, 'Full List'!B:H, 7, FALSE)</f>
        <v>953698.93</v>
      </c>
      <c r="G21" s="23" t="s">
        <v>299</v>
      </c>
      <c r="I21" s="17"/>
      <c r="J21" s="17"/>
    </row>
    <row r="22" ht="22.5" customHeight="1">
      <c r="A22" s="20">
        <v>46164.414982222224</v>
      </c>
      <c r="B22" s="26" t="s">
        <v>305</v>
      </c>
      <c r="C22" s="12" t="str">
        <f>VLOOKUP(B22, 'Full List'!B:C, 2, FALSE)</f>
        <v>INVERTER (EVA98386947)</v>
      </c>
      <c r="D22" s="12">
        <f>VLOOKUP(B22, 'Full List'!B:F, 5, FALSE)</f>
        <v>1</v>
      </c>
      <c r="E22" s="13">
        <f>VLOOKUP(B22, 'Full List'!B:G, 6, FALSE)</f>
        <v>231320.33</v>
      </c>
      <c r="F22" s="13">
        <f>VLOOKUP(B22, 'Full List'!B:H, 7, FALSE)</f>
        <v>231320.33</v>
      </c>
      <c r="G22" s="24" t="s">
        <v>317</v>
      </c>
      <c r="I22" s="17"/>
      <c r="J22" s="17"/>
    </row>
    <row r="23" ht="22.5" customHeight="1">
      <c r="A23" s="20">
        <v>46164.415721655096</v>
      </c>
      <c r="B23" s="22" t="s">
        <v>323</v>
      </c>
      <c r="C23" s="12" t="str">
        <f>VLOOKUP(B23, 'Full List'!B:C, 2, FALSE)</f>
        <v>CONDITIONER (4209171)</v>
      </c>
      <c r="D23" s="12">
        <f>VLOOKUP(B23, 'Full List'!B:F, 5, FALSE)</f>
        <v>1</v>
      </c>
      <c r="E23" s="13">
        <f>VLOOKUP(B23, 'Full List'!B:G, 6, FALSE)</f>
        <v>572958.41</v>
      </c>
      <c r="F23" s="13">
        <f>VLOOKUP(B23, 'Full List'!B:H, 7, FALSE)</f>
        <v>572958.41</v>
      </c>
      <c r="G23" s="24" t="s">
        <v>328</v>
      </c>
      <c r="I23" s="17"/>
      <c r="J23" s="17"/>
    </row>
    <row r="24" ht="22.5" customHeight="1">
      <c r="A24" s="20">
        <v>46164.4177734375</v>
      </c>
      <c r="B24" s="22" t="s">
        <v>336</v>
      </c>
      <c r="C24" s="12" t="str">
        <f>VLOOKUP(B24, 'Full List'!B:C, 2, FALSE)</f>
        <v>INVERTER (4062504)</v>
      </c>
      <c r="D24" s="12">
        <f>VLOOKUP(B24, 'Full List'!B:F, 5, FALSE)</f>
        <v>1</v>
      </c>
      <c r="E24" s="13">
        <f>VLOOKUP(B24, 'Full List'!B:G, 6, FALSE)</f>
        <v>383342.88</v>
      </c>
      <c r="F24" s="13">
        <f>VLOOKUP(B24, 'Full List'!B:H, 7, FALSE)</f>
        <v>383342.88</v>
      </c>
      <c r="G24" s="24" t="s">
        <v>347</v>
      </c>
      <c r="I24" s="17"/>
      <c r="J24" s="17"/>
    </row>
    <row r="25" ht="22.5" customHeight="1">
      <c r="A25" s="20">
        <v>46164.41956446759</v>
      </c>
      <c r="B25" s="22" t="s">
        <v>354</v>
      </c>
      <c r="C25" s="12" t="str">
        <f>VLOOKUP(B25, 'Full List'!B:C, 2, FALSE)</f>
        <v>INVERTER (DCL17586930)</v>
      </c>
      <c r="D25" s="12">
        <f>VLOOKUP(B25, 'Full List'!B:F, 5, FALSE)</f>
        <v>1</v>
      </c>
      <c r="E25" s="13">
        <f>VLOOKUP(B25, 'Full List'!B:G, 6, FALSE)</f>
        <v>697822.67</v>
      </c>
      <c r="F25" s="13">
        <f>VLOOKUP(B25, 'Full List'!B:H, 7, FALSE)</f>
        <v>697822.67</v>
      </c>
      <c r="G25" s="23" t="s">
        <v>364</v>
      </c>
      <c r="I25" s="17"/>
      <c r="J25" s="17"/>
    </row>
    <row r="26" ht="22.5" customHeight="1">
      <c r="A26" s="20">
        <v>46164.41990346065</v>
      </c>
      <c r="B26" s="22" t="s">
        <v>371</v>
      </c>
      <c r="C26" s="12" t="str">
        <f>VLOOKUP(B26, 'Full List'!B:C, 2, FALSE)</f>
        <v>INVERTER (DCL17586936)</v>
      </c>
      <c r="D26" s="12">
        <f>VLOOKUP(B26, 'Full List'!B:F, 5, FALSE)</f>
        <v>1</v>
      </c>
      <c r="E26" s="13">
        <f>VLOOKUP(B26, 'Full List'!B:G, 6, FALSE)</f>
        <v>184799.57</v>
      </c>
      <c r="F26" s="13">
        <f>VLOOKUP(B26, 'Full List'!B:H, 7, FALSE)</f>
        <v>184799.57</v>
      </c>
      <c r="G26" s="23" t="s">
        <v>376</v>
      </c>
      <c r="I26" s="17"/>
      <c r="J26" s="17"/>
    </row>
    <row r="27" ht="22.5" customHeight="1">
      <c r="A27" s="20">
        <v>46164.44051559028</v>
      </c>
      <c r="B27" s="22" t="s">
        <v>383</v>
      </c>
      <c r="C27" s="12" t="str">
        <f>VLOOKUP(B27, 'Full List'!B:C, 2, FALSE)</f>
        <v>INVERTER D700 (0.75KW) MITSUBISHI</v>
      </c>
      <c r="D27" s="12">
        <f>VLOOKUP(B27, 'Full List'!B:F, 5, FALSE)</f>
        <v>1</v>
      </c>
      <c r="E27" s="13">
        <f>VLOOKUP(B27, 'Full List'!B:G, 6, FALSE)</f>
        <v>395515.42</v>
      </c>
      <c r="F27" s="13">
        <f>VLOOKUP(B27, 'Full List'!B:H, 7, FALSE)</f>
        <v>395515.42</v>
      </c>
      <c r="G27" s="23" t="s">
        <v>388</v>
      </c>
      <c r="I27" s="17"/>
      <c r="J27" s="17"/>
    </row>
    <row r="28" ht="22.5" customHeight="1">
      <c r="A28" s="20">
        <v>46164.442793379625</v>
      </c>
      <c r="B28" s="22" t="s">
        <v>396</v>
      </c>
      <c r="C28" s="12" t="str">
        <f>VLOOKUP(B28, 'Full List'!B:C, 2, FALSE)</f>
        <v>INVERTER E700 (0.75KW) MITSUBISHI</v>
      </c>
      <c r="D28" s="12">
        <f>VLOOKUP(B28, 'Full List'!B:F, 5, FALSE)</f>
        <v>2</v>
      </c>
      <c r="E28" s="13">
        <f>VLOOKUP(B28, 'Full List'!B:G, 6, FALSE)</f>
        <v>379694.8</v>
      </c>
      <c r="F28" s="13">
        <f>VLOOKUP(B28, 'Full List'!B:H, 7, FALSE)</f>
        <v>759389.6</v>
      </c>
      <c r="G28" s="23" t="s">
        <v>404</v>
      </c>
      <c r="I28" s="17"/>
      <c r="J28" s="17"/>
    </row>
    <row r="29" ht="22.5" customHeight="1">
      <c r="A29" s="20">
        <v>46164.44283170139</v>
      </c>
      <c r="B29" s="22" t="s">
        <v>414</v>
      </c>
      <c r="C29" s="12" t="str">
        <f>VLOOKUP(B29, 'Full List'!B:C, 2, FALSE)</f>
        <v>TOSHIBA INVERTER VSF15 1.5KW 400-500VAC (05.25.318)</v>
      </c>
      <c r="D29" s="12">
        <f>VLOOKUP(B29, 'Full List'!B:F, 5, FALSE)</f>
        <v>5</v>
      </c>
      <c r="E29" s="13">
        <f>VLOOKUP(B29, 'Full List'!B:G, 6, FALSE)</f>
        <v>200066.5</v>
      </c>
      <c r="F29" s="13">
        <f>VLOOKUP(B29, 'Full List'!B:H, 7, FALSE)</f>
        <v>1000332.5</v>
      </c>
      <c r="G29" s="23" t="s">
        <v>420</v>
      </c>
      <c r="I29" s="17"/>
      <c r="J29" s="17"/>
    </row>
    <row r="30" ht="22.5" customHeight="1">
      <c r="A30" s="20">
        <v>46164.443767060184</v>
      </c>
      <c r="B30" s="22" t="s">
        <v>429</v>
      </c>
      <c r="C30" s="12" t="str">
        <f>VLOOKUP(B30, 'Full List'!B:C, 2, FALSE)</f>
        <v>INVERTER ( YASAKAWA) CIMR-VC2A0006BAA</v>
      </c>
      <c r="D30" s="12">
        <f>VLOOKUP(B30, 'Full List'!B:F, 5, FALSE)</f>
        <v>6</v>
      </c>
      <c r="E30" s="13">
        <f>VLOOKUP(B30, 'Full List'!B:G, 6, FALSE)</f>
        <v>100753.1</v>
      </c>
      <c r="F30" s="13">
        <f>VLOOKUP(B30, 'Full List'!B:H, 7, FALSE)</f>
        <v>604518.6</v>
      </c>
      <c r="G30" s="23" t="s">
        <v>438</v>
      </c>
      <c r="I30" s="17"/>
      <c r="J30" s="17"/>
    </row>
    <row r="31" ht="22.5" customHeight="1">
      <c r="A31" s="20">
        <v>46164.446865590275</v>
      </c>
      <c r="B31" s="22" t="s">
        <v>445</v>
      </c>
      <c r="C31" s="12" t="str">
        <f>VLOOKUP(B31, 'Full List'!B:C, 2, FALSE)</f>
        <v>INVERTER (YASAKAWA) CIMR-VC4A0005BAA</v>
      </c>
      <c r="D31" s="12">
        <f>VLOOKUP(B31, 'Full List'!B:F, 5, FALSE)</f>
        <v>4</v>
      </c>
      <c r="E31" s="13">
        <f>VLOOKUP(B31, 'Full List'!B:G, 6, FALSE)</f>
        <v>138059.59</v>
      </c>
      <c r="F31" s="13">
        <f>VLOOKUP(B31, 'Full List'!B:H, 7, FALSE)</f>
        <v>552238.36</v>
      </c>
      <c r="G31" s="23" t="s">
        <v>452</v>
      </c>
      <c r="I31" s="17"/>
      <c r="J31" s="17"/>
    </row>
    <row r="32" ht="22.5" customHeight="1">
      <c r="A32" s="20">
        <v>46164.44777909722</v>
      </c>
      <c r="B32" s="22" t="s">
        <v>459</v>
      </c>
      <c r="C32" s="12" t="str">
        <f>VLOOKUP(B32, 'Full List'!B:C, 2, FALSE)</f>
        <v>V1000 CIMR-VC2A0004BAA (YASKAWA )</v>
      </c>
      <c r="D32" s="12">
        <f>VLOOKUP(B32, 'Full List'!B:F, 5, FALSE)</f>
        <v>4</v>
      </c>
      <c r="E32" s="13">
        <f>VLOOKUP(B32, 'Full List'!B:G, 6, FALSE)</f>
        <v>92824.81</v>
      </c>
      <c r="F32" s="13">
        <f>VLOOKUP(B32, 'Full List'!B:H, 7, FALSE)</f>
        <v>371299.24</v>
      </c>
      <c r="G32" s="23" t="s">
        <v>465</v>
      </c>
      <c r="I32" s="17"/>
      <c r="J32" s="17"/>
    </row>
    <row r="33" ht="22.5" customHeight="1">
      <c r="A33" s="20">
        <v>46164.447856631945</v>
      </c>
      <c r="B33" s="22" t="s">
        <v>468</v>
      </c>
      <c r="C33" s="12" t="str">
        <f>VLOOKUP(B33, 'Full List'!B:C, 2, FALSE)</f>
        <v>V1000 CIMR-VC2A0010BAA INVERTER YASKAWA</v>
      </c>
      <c r="D33" s="12">
        <f>VLOOKUP(B33, 'Full List'!B:F, 5, FALSE)</f>
        <v>5</v>
      </c>
      <c r="E33" s="13">
        <f>VLOOKUP(B33, 'Full List'!B:G, 6, FALSE)</f>
        <v>130699.75</v>
      </c>
      <c r="F33" s="13">
        <f>VLOOKUP(B33, 'Full List'!B:H, 7, FALSE)</f>
        <v>653498.75</v>
      </c>
      <c r="G33" s="23" t="s">
        <v>473</v>
      </c>
      <c r="I33" s="17"/>
      <c r="J33" s="17"/>
    </row>
    <row r="34" ht="22.5" customHeight="1">
      <c r="A34" s="20">
        <v>46164.45041796296</v>
      </c>
      <c r="B34" s="22" t="s">
        <v>11</v>
      </c>
      <c r="C34" s="12" t="str">
        <f>VLOOKUP(B34, 'Full List'!B:C, 2, FALSE)</f>
        <v>MAGNETIC CONTACTOR-18.5KW 110V</v>
      </c>
      <c r="D34" s="12">
        <f>VLOOKUP(B34, 'Full List'!B:F, 5, FALSE)</f>
        <v>6</v>
      </c>
      <c r="E34" s="13">
        <f>VLOOKUP(B34, 'Full List'!B:G, 6, FALSE)</f>
        <v>35900</v>
      </c>
      <c r="F34" s="13">
        <f>VLOOKUP(B34, 'Full List'!B:H, 7, FALSE)</f>
        <v>215400</v>
      </c>
      <c r="G34" s="23" t="s">
        <v>482</v>
      </c>
      <c r="I34" s="17"/>
      <c r="J34" s="17"/>
    </row>
    <row r="35" ht="22.5" customHeight="1">
      <c r="A35" s="20">
        <v>46164.45052076389</v>
      </c>
      <c r="B35" s="22" t="s">
        <v>7</v>
      </c>
      <c r="C35" s="12" t="str">
        <f>VLOOKUP(B35, 'Full List'!B:C, 2, FALSE)</f>
        <v>MAGNETIC CONTACTOR-15KW 110V</v>
      </c>
      <c r="D35" s="12">
        <f>VLOOKUP(B35, 'Full List'!B:F, 5, FALSE)</f>
        <v>20</v>
      </c>
      <c r="E35" s="13">
        <f>VLOOKUP(B35, 'Full List'!B:G, 6, FALSE)</f>
        <v>20037.48</v>
      </c>
      <c r="F35" s="13">
        <f>VLOOKUP(B35, 'Full List'!B:H, 7, FALSE)</f>
        <v>400749.6</v>
      </c>
      <c r="G35" s="23" t="s">
        <v>500</v>
      </c>
      <c r="I35" s="17"/>
      <c r="J35" s="17"/>
    </row>
    <row r="36" ht="22.5" customHeight="1">
      <c r="A36" s="20">
        <v>46164.452860879624</v>
      </c>
      <c r="B36" s="22" t="s">
        <v>14</v>
      </c>
      <c r="C36" s="12" t="str">
        <f>VLOOKUP(B36, 'Full List'!B:C, 2, FALSE)</f>
        <v>MAGNETIC CONTACTOR-22KW 110V</v>
      </c>
      <c r="D36" s="12">
        <f>VLOOKUP(B36, 'Full List'!B:F, 5, FALSE)</f>
        <v>15</v>
      </c>
      <c r="E36" s="13">
        <f>VLOOKUP(B36, 'Full List'!B:G, 6, FALSE)</f>
        <v>30677.8</v>
      </c>
      <c r="F36" s="13">
        <f>VLOOKUP(B36, 'Full List'!B:H, 7, FALSE)</f>
        <v>460167</v>
      </c>
      <c r="G36" s="23" t="s">
        <v>514</v>
      </c>
      <c r="I36" s="17"/>
      <c r="J36" s="17"/>
    </row>
    <row r="37" ht="22.5" customHeight="1">
      <c r="A37" s="20">
        <v>46164.453840057875</v>
      </c>
      <c r="B37" s="22" t="s">
        <v>85</v>
      </c>
      <c r="C37" s="12" t="str">
        <f>VLOOKUP(B37, 'Full List'!B:C, 2, FALSE)</f>
        <v>1600A, 450V 85/65KA 3POLE MCCB WITH COMPLETE UVT COIL SET</v>
      </c>
      <c r="D37" s="12">
        <f>VLOOKUP(B37, 'Full List'!B:F, 5, FALSE)</f>
        <v>1</v>
      </c>
      <c r="E37" s="13">
        <f>VLOOKUP(B37, 'Full List'!B:G, 6, FALSE)</f>
        <v>461252</v>
      </c>
      <c r="F37" s="13">
        <f>VLOOKUP(B37, 'Full List'!B:H, 7, FALSE)</f>
        <v>461252</v>
      </c>
      <c r="G37" s="24" t="s">
        <v>524</v>
      </c>
      <c r="I37" s="17"/>
      <c r="J37" s="17"/>
    </row>
    <row r="38" ht="22.5" customHeight="1">
      <c r="A38" s="20">
        <v>46164.4538487963</v>
      </c>
      <c r="B38" s="22" t="s">
        <v>16</v>
      </c>
      <c r="C38" s="12" t="str">
        <f>VLOOKUP(B38, 'Full List'!B:C, 2, FALSE)</f>
        <v>MAGNETIC CONTACTOR-7.5KW 110V</v>
      </c>
      <c r="D38" s="12">
        <f>VLOOKUP(B38, 'Full List'!B:F, 5, FALSE)</f>
        <v>49</v>
      </c>
      <c r="E38" s="13">
        <f>VLOOKUP(B38, 'Full List'!B:G, 6, FALSE)</f>
        <v>8543.35</v>
      </c>
      <c r="F38" s="13">
        <f>VLOOKUP(B38, 'Full List'!B:H, 7, FALSE)</f>
        <v>418624.15</v>
      </c>
      <c r="G38" s="23" t="s">
        <v>539</v>
      </c>
      <c r="I38" s="17"/>
      <c r="J38" s="17"/>
    </row>
    <row r="39" ht="22.5" customHeight="1">
      <c r="A39" s="20">
        <v>46164.45582737269</v>
      </c>
      <c r="B39" s="22" t="s">
        <v>83</v>
      </c>
      <c r="C39" s="12" t="str">
        <f>VLOOKUP(B39, 'Full List'!B:C, 2, FALSE)</f>
        <v>1600A, 400V, 55-85kA, 4P MCCB WITH UVT COIL</v>
      </c>
      <c r="D39" s="12">
        <f>VLOOKUP(B39, 'Full List'!B:F, 5, FALSE)</f>
        <v>1</v>
      </c>
      <c r="E39" s="13">
        <f>VLOOKUP(B39, 'Full List'!B:G, 6, FALSE)</f>
        <v>394383.9</v>
      </c>
      <c r="F39" s="13">
        <f>VLOOKUP(B39, 'Full List'!B:H, 7, FALSE)</f>
        <v>394383.9</v>
      </c>
      <c r="G39" s="24" t="s">
        <v>556</v>
      </c>
      <c r="I39" s="17"/>
      <c r="J39" s="17"/>
    </row>
    <row r="40" ht="22.5" customHeight="1">
      <c r="A40" s="20">
        <v>46164.45595978009</v>
      </c>
      <c r="B40" s="22" t="s">
        <v>204</v>
      </c>
      <c r="C40" s="12" t="str">
        <f>VLOOKUP(B40, 'Full List'!B:C, 2, FALSE)</f>
        <v>CHANGEOVER SWITCH 1600A</v>
      </c>
      <c r="D40" s="12">
        <f>VLOOKUP(B40, 'Full List'!B:F, 5, FALSE)</f>
        <v>1</v>
      </c>
      <c r="E40" s="13">
        <f>VLOOKUP(B40, 'Full List'!B:G, 6, FALSE)</f>
        <v>476959.5</v>
      </c>
      <c r="F40" s="13">
        <f>VLOOKUP(B40, 'Full List'!B:H, 7, FALSE)</f>
        <v>476959.5</v>
      </c>
      <c r="G40" s="24" t="s">
        <v>564</v>
      </c>
      <c r="I40" s="17"/>
      <c r="J40" s="17"/>
    </row>
    <row r="41" ht="22.5" customHeight="1">
      <c r="A41" s="20">
        <v>46164.45699024305</v>
      </c>
      <c r="B41" s="22" t="s">
        <v>31</v>
      </c>
      <c r="C41" s="12" t="str">
        <f>VLOOKUP(B41, 'Full List'!B:C, 2, FALSE)</f>
        <v>THERMAL MAGNETIC SWITCH-0.6-1A</v>
      </c>
      <c r="D41" s="12">
        <f>VLOOKUP(B41, 'Full List'!B:F, 5, FALSE)</f>
        <v>12</v>
      </c>
      <c r="E41" s="13">
        <f>VLOOKUP(B41, 'Full List'!B:G, 6, FALSE)</f>
        <v>15118.33</v>
      </c>
      <c r="F41" s="13">
        <f>VLOOKUP(B41, 'Full List'!B:H, 7, FALSE)</f>
        <v>181419.96</v>
      </c>
      <c r="G41" s="23" t="s">
        <v>580</v>
      </c>
      <c r="I41" s="17"/>
      <c r="J41" s="17"/>
    </row>
    <row r="42" ht="22.5" customHeight="1">
      <c r="A42" s="20">
        <v>46164.45777403935</v>
      </c>
      <c r="B42" s="22" t="s">
        <v>36</v>
      </c>
      <c r="C42" s="12" t="str">
        <f>VLOOKUP(B42, 'Full List'!B:C, 2, FALSE)</f>
        <v>CONTACT POINT FOR 3TF52 CONTACTOR</v>
      </c>
      <c r="D42" s="12">
        <f>VLOOKUP(B42, 'Full List'!B:F, 5, FALSE)</f>
        <v>18</v>
      </c>
      <c r="E42" s="13">
        <f>VLOOKUP(B42, 'Full List'!B:G, 6, FALSE)</f>
        <v>66775</v>
      </c>
      <c r="F42" s="13">
        <f>VLOOKUP(B42, 'Full List'!B:H, 7, FALSE)</f>
        <v>1201950</v>
      </c>
      <c r="G42" s="25" t="s">
        <v>598</v>
      </c>
      <c r="I42" s="17"/>
      <c r="J42" s="17"/>
    </row>
    <row r="43" ht="22.5" customHeight="1">
      <c r="A43" s="20">
        <v>46164.45804636574</v>
      </c>
      <c r="B43" s="22" t="s">
        <v>34</v>
      </c>
      <c r="C43" s="12" t="str">
        <f>VLOOKUP(B43, 'Full List'!B:C, 2, FALSE)</f>
        <v>THERMAL MAGNETIC SWITCH-1-1.6A</v>
      </c>
      <c r="D43" s="12">
        <f>VLOOKUP(B43, 'Full List'!B:F, 5, FALSE)</f>
        <v>21</v>
      </c>
      <c r="E43" s="13">
        <f>VLOOKUP(B43, 'Full List'!B:G, 6, FALSE)</f>
        <v>11093.73</v>
      </c>
      <c r="F43" s="13">
        <f>VLOOKUP(B43, 'Full List'!B:H, 7, FALSE)</f>
        <v>232968.33</v>
      </c>
      <c r="G43" s="23" t="s">
        <v>614</v>
      </c>
      <c r="I43" s="17"/>
      <c r="J43" s="17"/>
    </row>
    <row r="44" ht="22.5" customHeight="1">
      <c r="A44" s="20">
        <v>46164.45905546296</v>
      </c>
      <c r="B44" s="22" t="s">
        <v>79</v>
      </c>
      <c r="C44" s="12" t="str">
        <f>VLOOKUP(B44, 'Full List'!B:C, 2, FALSE)</f>
        <v>MCCB-400A</v>
      </c>
      <c r="D44" s="12">
        <f>VLOOKUP(B44, 'Full List'!B:F, 5, FALSE)</f>
        <v>4</v>
      </c>
      <c r="E44" s="13">
        <f>VLOOKUP(B44, 'Full List'!B:G, 6, FALSE)</f>
        <v>69571.5</v>
      </c>
      <c r="F44" s="13">
        <f>VLOOKUP(B44, 'Full List'!B:H, 7, FALSE)</f>
        <v>278286</v>
      </c>
      <c r="G44" s="23" t="s">
        <v>628</v>
      </c>
      <c r="I44" s="17"/>
      <c r="J44" s="17"/>
    </row>
    <row r="45" ht="22.5" customHeight="1">
      <c r="A45" s="20">
        <v>46164.45910719907</v>
      </c>
      <c r="B45" s="22" t="s">
        <v>81</v>
      </c>
      <c r="C45" s="12" t="str">
        <f>VLOOKUP(B45, 'Full List'!B:C, 2, FALSE)</f>
        <v>MCCB-125A 3 POLE 25 KA</v>
      </c>
      <c r="D45" s="12">
        <f>VLOOKUP(B45, 'Full List'!B:F, 5, FALSE)</f>
        <v>17</v>
      </c>
      <c r="E45" s="13">
        <f>VLOOKUP(B45, 'Full List'!B:G, 6, FALSE)</f>
        <v>20677.38</v>
      </c>
      <c r="F45" s="13">
        <f>VLOOKUP(B45, 'Full List'!B:H, 7, FALSE)</f>
        <v>351515.46</v>
      </c>
      <c r="G45" s="24" t="s">
        <v>644</v>
      </c>
      <c r="I45" s="17"/>
      <c r="J45" s="17"/>
    </row>
    <row r="46" ht="22.5" customHeight="1">
      <c r="A46" s="20">
        <v>46164.46111907407</v>
      </c>
      <c r="B46" s="22" t="s">
        <v>88</v>
      </c>
      <c r="C46" s="12" t="str">
        <f>VLOOKUP(B46, 'Full List'!B:C, 2, FALSE)</f>
        <v>TIMER MTD16086928 (4033600)</v>
      </c>
      <c r="D46" s="12">
        <f>VLOOKUP(B46, 'Full List'!B:F, 5, FALSE)</f>
        <v>3</v>
      </c>
      <c r="E46" s="13">
        <f>VLOOKUP(B46, 'Full List'!B:G, 6, FALSE)</f>
        <v>173136.97</v>
      </c>
      <c r="F46" s="13">
        <f>VLOOKUP(B46, 'Full List'!B:H, 7, FALSE)</f>
        <v>519410.91</v>
      </c>
      <c r="G46" s="24" t="s">
        <v>661</v>
      </c>
      <c r="I46" s="17"/>
      <c r="J46" s="17"/>
    </row>
    <row r="47" ht="22.5" customHeight="1">
      <c r="A47" s="20">
        <v>46164.46420787037</v>
      </c>
      <c r="B47" s="22" t="s">
        <v>409</v>
      </c>
      <c r="C47" s="12" t="str">
        <f>VLOOKUP(B47, 'Full List'!B:C, 2, FALSE)</f>
        <v>EMBEDDED PC BOX WITH PROGRAM ARK1122</v>
      </c>
      <c r="D47" s="12">
        <f>VLOOKUP(B47, 'Full List'!B:F, 5, FALSE)</f>
        <v>1</v>
      </c>
      <c r="E47" s="13">
        <f>VLOOKUP(B47, 'Full List'!B:G, 6, FALSE)</f>
        <v>1608429.35</v>
      </c>
      <c r="F47" s="13">
        <f>VLOOKUP(B47, 'Full List'!B:H, 7, FALSE)</f>
        <v>1608429.35</v>
      </c>
      <c r="G47" s="23" t="s">
        <v>677</v>
      </c>
      <c r="I47" s="17"/>
      <c r="J47" s="17"/>
    </row>
    <row r="48" ht="22.5" customHeight="1">
      <c r="A48" s="20">
        <v>46164.46461793981</v>
      </c>
      <c r="B48" s="22" t="s">
        <v>58</v>
      </c>
      <c r="C48" s="12" t="str">
        <f>VLOOKUP(B48, 'Full List'!B:C, 2, FALSE)</f>
        <v>RELAY 4060488</v>
      </c>
      <c r="D48" s="12">
        <f>VLOOKUP(B48, 'Full List'!B:F, 5, FALSE)</f>
        <v>2</v>
      </c>
      <c r="E48" s="13">
        <f>VLOOKUP(B48, 'Full List'!B:G, 6, FALSE)</f>
        <v>111235.99</v>
      </c>
      <c r="F48" s="13">
        <f>VLOOKUP(B48, 'Full List'!B:H, 7, FALSE)</f>
        <v>222471.98</v>
      </c>
      <c r="G48" s="23" t="s">
        <v>694</v>
      </c>
      <c r="I48" s="17"/>
      <c r="J48" s="17"/>
    </row>
    <row r="49" ht="22.5" customHeight="1">
      <c r="A49" s="20">
        <v>46164.465660856484</v>
      </c>
      <c r="B49" s="22" t="s">
        <v>407</v>
      </c>
      <c r="C49" s="12" t="str">
        <f>VLOOKUP(B49, 'Full List'!B:C, 2, FALSE)</f>
        <v>ANALOG OUTPUT MODULE (CJ1W - DA41 SL)</v>
      </c>
      <c r="D49" s="12">
        <f>VLOOKUP(B49, 'Full List'!B:F, 5, FALSE)</f>
        <v>1</v>
      </c>
      <c r="E49" s="13">
        <f>VLOOKUP(B49, 'Full List'!B:G, 6, FALSE)</f>
        <v>308058.43</v>
      </c>
      <c r="F49" s="13">
        <f>VLOOKUP(B49, 'Full List'!B:H, 7, FALSE)</f>
        <v>308058.43</v>
      </c>
      <c r="G49" s="23" t="s">
        <v>710</v>
      </c>
      <c r="I49" s="17"/>
      <c r="J49" s="17"/>
    </row>
    <row r="50" ht="22.5" customHeight="1">
      <c r="A50" s="20">
        <v>46167.419330046294</v>
      </c>
      <c r="B50" s="22" t="s">
        <v>174</v>
      </c>
      <c r="C50" s="12" t="str">
        <f>VLOOKUP(B50, 'Full List'!B:C, 2, FALSE)</f>
        <v>LOAD CELL FOR 1.5KW SENSOR (HSX 50KG)</v>
      </c>
      <c r="D50" s="12">
        <f>VLOOKUP(B50, 'Full List'!B:F, 5, FALSE)</f>
        <v>7</v>
      </c>
      <c r="E50" s="13">
        <f>VLOOKUP(B50, 'Full List'!B:G, 6, FALSE)</f>
        <v>91648.84</v>
      </c>
      <c r="F50" s="13">
        <f>VLOOKUP(B50, 'Full List'!B:H, 7, FALSE)</f>
        <v>641541.88</v>
      </c>
      <c r="G50" s="24" t="s">
        <v>722</v>
      </c>
      <c r="I50" s="17"/>
      <c r="J50" s="17"/>
    </row>
    <row r="51" ht="22.5" customHeight="1">
      <c r="A51" s="20">
        <v>46167.427725</v>
      </c>
      <c r="B51" s="22" t="s">
        <v>565</v>
      </c>
      <c r="C51" s="12" t="str">
        <f>VLOOKUP(B51, 'Full List'!B:C, 2, FALSE)</f>
        <v>TEMPERATURE CON. MTD30086989</v>
      </c>
      <c r="D51" s="12">
        <f>VLOOKUP(B51, 'Full List'!B:F, 5, FALSE)</f>
        <v>1</v>
      </c>
      <c r="E51" s="13">
        <f>VLOOKUP(B51, 'Full List'!B:G, 6, FALSE)</f>
        <v>745628.63</v>
      </c>
      <c r="F51" s="13">
        <f>VLOOKUP(B51, 'Full List'!B:H, 7, FALSE)</f>
        <v>745628.63</v>
      </c>
      <c r="G51" s="24" t="s">
        <v>736</v>
      </c>
      <c r="I51" s="17"/>
      <c r="J51" s="17"/>
    </row>
    <row r="52" ht="22.5" customHeight="1">
      <c r="A52" s="20">
        <v>46167.427749236114</v>
      </c>
      <c r="B52" s="22" t="s">
        <v>95</v>
      </c>
      <c r="C52" s="12" t="str">
        <f>VLOOKUP(B52, 'Full List'!B:C, 2, FALSE)</f>
        <v>INDICATOR 4319109</v>
      </c>
      <c r="D52" s="12">
        <f>VLOOKUP(B52, 'Full List'!B:F, 5, FALSE)</f>
        <v>1</v>
      </c>
      <c r="E52" s="13">
        <f>VLOOKUP(B52, 'Full List'!B:G, 6, FALSE)</f>
        <v>189415.49</v>
      </c>
      <c r="F52" s="13">
        <f>VLOOKUP(B52, 'Full List'!B:H, 7, FALSE)</f>
        <v>189415.49</v>
      </c>
      <c r="G52" s="23" t="s">
        <v>746</v>
      </c>
      <c r="I52" s="17"/>
      <c r="J52" s="17"/>
    </row>
    <row r="53" ht="22.5" customHeight="1">
      <c r="A53" s="20">
        <v>46167.42972359953</v>
      </c>
      <c r="B53" s="22" t="s">
        <v>218</v>
      </c>
      <c r="C53" s="12" t="str">
        <f>VLOOKUP(B53, 'Full List'!B:C, 2, FALSE)</f>
        <v>PUSH BUTTON PAN (PH16485904)</v>
      </c>
      <c r="D53" s="12">
        <f>VLOOKUP(B53, 'Full List'!B:F, 5, FALSE)</f>
        <v>1</v>
      </c>
      <c r="E53" s="13">
        <f>VLOOKUP(B53, 'Full List'!B:G, 6, FALSE)</f>
        <v>483234.54</v>
      </c>
      <c r="F53" s="13">
        <f>VLOOKUP(B53, 'Full List'!B:H, 7, FALSE)</f>
        <v>483234.54</v>
      </c>
      <c r="G53" s="25" t="s">
        <v>760</v>
      </c>
      <c r="I53" s="17"/>
      <c r="J53" s="17"/>
    </row>
    <row r="54" ht="22.5" customHeight="1">
      <c r="A54" s="20">
        <v>46167.430341458334</v>
      </c>
      <c r="B54" s="22" t="s">
        <v>197</v>
      </c>
      <c r="C54" s="12" t="str">
        <f>VLOOKUP(B54, 'Full List'!B:C, 2, FALSE)</f>
        <v>FLAME DETECTOR QRA73.A17</v>
      </c>
      <c r="D54" s="12">
        <f>VLOOKUP(B54, 'Full List'!B:F, 5, FALSE)</f>
        <v>2</v>
      </c>
      <c r="E54" s="13">
        <f>VLOOKUP(B54, 'Full List'!B:G, 6, FALSE)</f>
        <v>282229.8</v>
      </c>
      <c r="F54" s="13">
        <f>VLOOKUP(B54, 'Full List'!B:H, 7, FALSE)</f>
        <v>564459.6</v>
      </c>
      <c r="G54" s="24" t="s">
        <v>769</v>
      </c>
      <c r="I54" s="17"/>
      <c r="J54" s="17"/>
    </row>
    <row r="55" ht="22.5" customHeight="1">
      <c r="A55" s="20">
        <v>46167.43095775463</v>
      </c>
      <c r="B55" s="26" t="s">
        <v>559</v>
      </c>
      <c r="C55" s="12" t="str">
        <f>VLOOKUP(B55, 'Full List'!B:C, 2, FALSE)</f>
        <v>POTENTIOMETER-(3013532)</v>
      </c>
      <c r="D55" s="12">
        <f>VLOOKUP(B55, 'Full List'!B:F, 5, FALSE)</f>
        <v>2</v>
      </c>
      <c r="E55" s="13">
        <f>VLOOKUP(B55, 'Full List'!B:G, 6, FALSE)</f>
        <v>181157.28</v>
      </c>
      <c r="F55" s="13">
        <f>VLOOKUP(B55, 'Full List'!B:H, 7, FALSE)</f>
        <v>362314.56</v>
      </c>
      <c r="G55" s="24" t="s">
        <v>783</v>
      </c>
      <c r="I55" s="17"/>
      <c r="J55" s="17"/>
    </row>
    <row r="56" ht="22.5" customHeight="1">
      <c r="A56" s="20">
        <v>46167.435420231486</v>
      </c>
      <c r="B56" s="22" t="s">
        <v>97</v>
      </c>
      <c r="C56" s="12" t="str">
        <f>VLOOKUP(B56, 'Full List'!B:C, 2, FALSE)</f>
        <v>TIMER 4033614</v>
      </c>
      <c r="D56" s="12">
        <f>VLOOKUP(B56, 'Full List'!B:F, 5, FALSE)</f>
        <v>4</v>
      </c>
      <c r="E56" s="13">
        <f>VLOOKUP(B56, 'Full List'!B:G, 6, FALSE)</f>
        <v>44536.73</v>
      </c>
      <c r="F56" s="13">
        <f>VLOOKUP(B56, 'Full List'!B:H, 7, FALSE)</f>
        <v>178146.92</v>
      </c>
      <c r="G56" s="24" t="s">
        <v>792</v>
      </c>
      <c r="I56" s="17"/>
      <c r="J56" s="17"/>
    </row>
    <row r="57" ht="22.5" customHeight="1">
      <c r="A57" s="20">
        <v>46167.43543341436</v>
      </c>
      <c r="B57" s="22" t="s">
        <v>93</v>
      </c>
      <c r="C57" s="12" t="str">
        <f>VLOOKUP(B57, 'Full List'!B:C, 2, FALSE)</f>
        <v>TIMER 04033607</v>
      </c>
      <c r="D57" s="12">
        <f>VLOOKUP(B57, 'Full List'!B:F, 5, FALSE)</f>
        <v>3</v>
      </c>
      <c r="E57" s="13">
        <f>VLOOKUP(B57, 'Full List'!B:G, 6, FALSE)</f>
        <v>60628.8</v>
      </c>
      <c r="F57" s="13">
        <f>VLOOKUP(B57, 'Full List'!B:H, 7, FALSE)</f>
        <v>181886.4</v>
      </c>
      <c r="G57" s="23" t="s">
        <v>804</v>
      </c>
      <c r="I57" s="17"/>
      <c r="J57" s="17"/>
    </row>
    <row r="58" ht="22.5" customHeight="1">
      <c r="A58" s="20">
        <v>46167.43820076389</v>
      </c>
      <c r="B58" s="22" t="s">
        <v>202</v>
      </c>
      <c r="C58" s="12" t="str">
        <f>VLOOKUP(B58, 'Full List'!B:C, 2, FALSE)</f>
        <v>DETECTOR ( 6416712)</v>
      </c>
      <c r="D58" s="12">
        <f>VLOOKUP(B58, 'Full List'!B:F, 5, FALSE)</f>
        <v>2</v>
      </c>
      <c r="E58" s="13">
        <f>VLOOKUP(B58, 'Full List'!B:G, 6, FALSE)</f>
        <v>132732.99</v>
      </c>
      <c r="F58" s="13">
        <f>VLOOKUP(B58, 'Full List'!B:H, 7, FALSE)</f>
        <v>265465.98</v>
      </c>
      <c r="G58" s="24" t="s">
        <v>819</v>
      </c>
      <c r="I58" s="17"/>
      <c r="J58" s="17"/>
    </row>
    <row r="59" ht="22.5" customHeight="1">
      <c r="A59" s="20">
        <v>46167.442404305555</v>
      </c>
      <c r="B59" s="22" t="s">
        <v>152</v>
      </c>
      <c r="C59" s="12" t="str">
        <f>VLOOKUP(B59, 'Full List'!B:C, 2, FALSE)</f>
        <v>READER-(SMC08536999)</v>
      </c>
      <c r="D59" s="12">
        <f>VLOOKUP(B59, 'Full List'!B:F, 5, FALSE)</f>
        <v>1</v>
      </c>
      <c r="E59" s="13">
        <f>VLOOKUP(B59, 'Full List'!B:G, 6, FALSE)</f>
        <v>350625.91</v>
      </c>
      <c r="F59" s="13">
        <f>VLOOKUP(B59, 'Full List'!B:H, 7, FALSE)</f>
        <v>350625.91</v>
      </c>
      <c r="G59" s="24" t="s">
        <v>833</v>
      </c>
      <c r="I59" s="17"/>
      <c r="J59" s="17"/>
    </row>
    <row r="60" ht="22.5" customHeight="1">
      <c r="A60" s="20">
        <v>46167.44242924769</v>
      </c>
      <c r="B60" s="22" t="s">
        <v>176</v>
      </c>
      <c r="C60" s="12" t="str">
        <f>VLOOKUP(B60, 'Full List'!B:C, 2, FALSE)</f>
        <v>LOAD CELL AMPLIFIER ( WEIGHT TRANSMITTER KM02H1))</v>
      </c>
      <c r="D60" s="12">
        <f>VLOOKUP(B60, 'Full List'!B:F, 5, FALSE)</f>
        <v>4</v>
      </c>
      <c r="E60" s="13">
        <f>VLOOKUP(B60, 'Full List'!B:G, 6, FALSE)</f>
        <v>74198.5</v>
      </c>
      <c r="F60" s="13">
        <f>VLOOKUP(B60, 'Full List'!B:H, 7, FALSE)</f>
        <v>296794</v>
      </c>
      <c r="G60" s="24" t="s">
        <v>844</v>
      </c>
      <c r="I60" s="17"/>
      <c r="J60" s="17"/>
    </row>
    <row r="61" ht="22.5" customHeight="1">
      <c r="A61" s="20">
        <v>46167.447909282404</v>
      </c>
      <c r="B61" s="22" t="s">
        <v>386</v>
      </c>
      <c r="C61" s="12" t="str">
        <f>VLOOKUP(B61, 'Full List'!B:C, 2, FALSE)</f>
        <v>INTERFACE CARD (SPDACAA1041)</v>
      </c>
      <c r="D61" s="12">
        <f>VLOOKUP(B61, 'Full List'!B:F, 5, FALSE)</f>
        <v>4</v>
      </c>
      <c r="E61" s="13">
        <f>VLOOKUP(B61, 'Full List'!B:G, 6, FALSE)</f>
        <v>55678.96</v>
      </c>
      <c r="F61" s="13">
        <f>VLOOKUP(B61, 'Full List'!B:H, 7, FALSE)</f>
        <v>222715.84</v>
      </c>
      <c r="G61" s="24" t="s">
        <v>853</v>
      </c>
      <c r="I61" s="17"/>
      <c r="J61" s="17"/>
    </row>
    <row r="62" ht="22.5" customHeight="1">
      <c r="A62" s="20">
        <v>46167.44796440972</v>
      </c>
      <c r="B62" s="22" t="s">
        <v>400</v>
      </c>
      <c r="C62" s="12" t="str">
        <f>VLOOKUP(B62, 'Full List'!B:C, 2, FALSE)</f>
        <v>CONTROL TERMINAL MT8051IP 4,3? 480X272 PROGRAMMED</v>
      </c>
      <c r="D62" s="12">
        <f>VLOOKUP(B62, 'Full List'!B:F, 5, FALSE)</f>
        <v>2</v>
      </c>
      <c r="E62" s="13">
        <f>VLOOKUP(B62, 'Full List'!B:G, 6, FALSE)</f>
        <v>173690.59</v>
      </c>
      <c r="F62" s="13">
        <f>VLOOKUP(B62, 'Full List'!B:H, 7, FALSE)</f>
        <v>347381.18</v>
      </c>
      <c r="G62" s="24" t="s">
        <v>869</v>
      </c>
      <c r="I62" s="17"/>
      <c r="J62" s="17"/>
    </row>
    <row r="63" ht="22.5" customHeight="1">
      <c r="A63" s="20">
        <v>46167.453071076394</v>
      </c>
      <c r="B63" s="26" t="s">
        <v>182</v>
      </c>
      <c r="C63" s="12" t="str">
        <f>VLOOKUP(B63, 'Full List'!B:C, 2, FALSE)</f>
        <v>ENCODER BOARD (ETC 810) (5907515701)</v>
      </c>
      <c r="D63" s="12">
        <f>VLOOKUP(B63, 'Full List'!B:F, 5, FALSE)</f>
        <v>2</v>
      </c>
      <c r="E63" s="13">
        <f>VLOOKUP(B63, 'Full List'!B:G, 6, FALSE)</f>
        <v>325438.8</v>
      </c>
      <c r="F63" s="13">
        <f>VLOOKUP(B63, 'Full List'!B:H, 7, FALSE)</f>
        <v>650877.6</v>
      </c>
      <c r="G63" s="23" t="s">
        <v>890</v>
      </c>
      <c r="I63" s="17"/>
      <c r="J63" s="17"/>
    </row>
    <row r="64" ht="22.5" customHeight="1">
      <c r="A64" s="20">
        <v>46167.454784918984</v>
      </c>
      <c r="B64" s="22" t="s">
        <v>357</v>
      </c>
      <c r="C64" s="12" t="str">
        <f>VLOOKUP(B64, 'Full List'!B:C, 2, FALSE)</f>
        <v>ELECTRONIC CAM PROGRAMMER - (LMV51.100C1)</v>
      </c>
      <c r="D64" s="12">
        <f>VLOOKUP(B64, 'Full List'!B:F, 5, FALSE)</f>
        <v>1</v>
      </c>
      <c r="E64" s="13">
        <f>VLOOKUP(B64, 'Full List'!B:G, 6, FALSE)</f>
        <v>442534.71</v>
      </c>
      <c r="F64" s="13">
        <f>VLOOKUP(B64, 'Full List'!B:H, 7, FALSE)</f>
        <v>442534.71</v>
      </c>
      <c r="G64" s="24" t="s">
        <v>904</v>
      </c>
      <c r="I64" s="17"/>
      <c r="J64" s="17"/>
    </row>
    <row r="65" ht="22.5" customHeight="1">
      <c r="A65" s="20">
        <v>46167.45549378472</v>
      </c>
      <c r="B65" s="22" t="s">
        <v>432</v>
      </c>
      <c r="C65" s="12" t="str">
        <f>VLOOKUP(B65, 'Full List'!B:C, 2, FALSE)</f>
        <v>DISPLAY FOR CALIPER (MC235.01/T001/CX4/220VAC)</v>
      </c>
      <c r="D65" s="12">
        <f>VLOOKUP(B65, 'Full List'!B:F, 5, FALSE)</f>
        <v>1</v>
      </c>
      <c r="E65" s="13">
        <f>VLOOKUP(B65, 'Full List'!B:G, 6, FALSE)</f>
        <v>216061.76</v>
      </c>
      <c r="F65" s="13">
        <f>VLOOKUP(B65, 'Full List'!B:H, 7, FALSE)</f>
        <v>216061.76</v>
      </c>
      <c r="G65" s="24" t="s">
        <v>921</v>
      </c>
      <c r="I65" s="17"/>
      <c r="J65" s="17"/>
    </row>
    <row r="66" ht="22.5" customHeight="1">
      <c r="A66" s="20">
        <v>46167.45678806713</v>
      </c>
      <c r="B66" s="22" t="s">
        <v>346</v>
      </c>
      <c r="C66" s="12" t="str">
        <f>VLOOKUP(B66, 'Full List'!B:C, 2, FALSE)</f>
        <v>MODULE-(PH32086928)</v>
      </c>
      <c r="D66" s="12">
        <f>VLOOKUP(B66, 'Full List'!B:F, 5, FALSE)</f>
        <v>2</v>
      </c>
      <c r="E66" s="13">
        <f>VLOOKUP(B66, 'Full List'!B:G, 6, FALSE)</f>
        <v>289239.72</v>
      </c>
      <c r="F66" s="13">
        <f>VLOOKUP(B66, 'Full List'!B:H, 7, FALSE)</f>
        <v>578479.44</v>
      </c>
      <c r="G66" s="24" t="s">
        <v>931</v>
      </c>
      <c r="I66" s="17"/>
      <c r="J66" s="17"/>
    </row>
    <row r="67" ht="22.5" customHeight="1">
      <c r="A67" s="20">
        <v>46167.459839953706</v>
      </c>
      <c r="B67" s="22" t="s">
        <v>313</v>
      </c>
      <c r="C67" s="12" t="str">
        <f>VLOOKUP(B67, 'Full List'!B:C, 2, FALSE)</f>
        <v>CARD DACS 2000-(PJKF00128)</v>
      </c>
      <c r="D67" s="12">
        <f>VLOOKUP(B67, 'Full List'!B:F, 5, FALSE)</f>
        <v>1</v>
      </c>
      <c r="E67" s="13">
        <f>VLOOKUP(B67, 'Full List'!B:G, 6, FALSE)</f>
        <v>531924.51</v>
      </c>
      <c r="F67" s="13">
        <f>VLOOKUP(B67, 'Full List'!B:H, 7, FALSE)</f>
        <v>531924.51</v>
      </c>
      <c r="G67" s="23" t="s">
        <v>941</v>
      </c>
      <c r="I67" s="17"/>
      <c r="J67" s="17"/>
    </row>
    <row r="68" ht="22.5" customHeight="1">
      <c r="A68" s="20">
        <v>46167.45985565972</v>
      </c>
      <c r="B68" s="22" t="s">
        <v>384</v>
      </c>
      <c r="C68" s="12" t="str">
        <f>VLOOKUP(B68, 'Full List'!B:C, 2, FALSE)</f>
        <v>CARD (SPDACAA0896)</v>
      </c>
      <c r="D68" s="12">
        <f>VLOOKUP(B68, 'Full List'!B:F, 5, FALSE)</f>
        <v>6</v>
      </c>
      <c r="E68" s="13">
        <f>VLOOKUP(B68, 'Full List'!B:G, 6, FALSE)</f>
        <v>55375.68</v>
      </c>
      <c r="F68" s="13">
        <f>VLOOKUP(B68, 'Full List'!B:H, 7, FALSE)</f>
        <v>332254.08</v>
      </c>
      <c r="G68" s="24" t="s">
        <v>952</v>
      </c>
      <c r="I68" s="17"/>
      <c r="J68" s="17"/>
    </row>
    <row r="69" ht="22.5" customHeight="1">
      <c r="A69" s="20">
        <v>46167.462914247684</v>
      </c>
      <c r="B69" s="22" t="s">
        <v>381</v>
      </c>
      <c r="C69" s="12" t="str">
        <f>VLOOKUP(B69, 'Full List'!B:C, 2, FALSE)</f>
        <v>CARD 16 INPUT (SPDACAA0897)</v>
      </c>
      <c r="D69" s="12">
        <f>VLOOKUP(B69, 'Full List'!B:F, 5, FALSE)</f>
        <v>3</v>
      </c>
      <c r="E69" s="13">
        <f>VLOOKUP(B69, 'Full List'!B:G, 6, FALSE)</f>
        <v>183590.04</v>
      </c>
      <c r="F69" s="13">
        <f>VLOOKUP(B69, 'Full List'!B:H, 7, FALSE)</f>
        <v>550770.12</v>
      </c>
      <c r="G69" s="24" t="s">
        <v>959</v>
      </c>
      <c r="I69" s="17"/>
      <c r="J69" s="17"/>
    </row>
    <row r="70" ht="22.5" customHeight="1">
      <c r="A70" s="20">
        <v>46167.46393290509</v>
      </c>
      <c r="B70" s="22" t="s">
        <v>423</v>
      </c>
      <c r="C70" s="12" t="str">
        <f>VLOOKUP(B70, 'Full List'!B:C, 2, FALSE)</f>
        <v>TOUCH 4.3" MOD. MT8052IP PROGRAMMED</v>
      </c>
      <c r="D70" s="12">
        <f>VLOOKUP(B70, 'Full List'!B:F, 5, FALSE)</f>
        <v>1</v>
      </c>
      <c r="E70" s="13">
        <f>VLOOKUP(B70, 'Full List'!B:G, 6, FALSE)</f>
        <v>224617.04</v>
      </c>
      <c r="F70" s="13">
        <f>VLOOKUP(B70, 'Full List'!B:H, 7, FALSE)</f>
        <v>224617.04</v>
      </c>
      <c r="G70" s="23" t="s">
        <v>967</v>
      </c>
      <c r="I70" s="17"/>
      <c r="J70" s="17"/>
    </row>
    <row r="71" ht="22.5" customHeight="1">
      <c r="A71" s="20">
        <v>46167.464538368054</v>
      </c>
      <c r="B71" s="22" t="s">
        <v>367</v>
      </c>
      <c r="C71" s="12" t="str">
        <f>VLOOKUP(B71, 'Full List'!B:C, 2, FALSE)</f>
        <v>CONSOLE BOARD (C1002963103)</v>
      </c>
      <c r="D71" s="12">
        <f>VLOOKUP(B71, 'Full List'!B:F, 5, FALSE)</f>
        <v>1</v>
      </c>
      <c r="E71" s="13">
        <f>VLOOKUP(B71, 'Full List'!B:G, 6, FALSE)</f>
        <v>245799.78</v>
      </c>
      <c r="F71" s="13">
        <f>VLOOKUP(B71, 'Full List'!B:H, 7, FALSE)</f>
        <v>245799.78</v>
      </c>
      <c r="G71" s="23" t="s">
        <v>979</v>
      </c>
      <c r="I71" s="17"/>
      <c r="J71" s="17"/>
    </row>
    <row r="72" ht="22.5" customHeight="1">
      <c r="A72" s="20">
        <v>46167.47356815972</v>
      </c>
      <c r="B72" s="22" t="s">
        <v>263</v>
      </c>
      <c r="C72" s="12" t="str">
        <f>VLOOKUP(B72, 'Full List'!B:C, 2, FALSE)</f>
        <v>ELECTRONIC CARD HPC 3HV (PK-XAARHPC3)</v>
      </c>
      <c r="D72" s="12">
        <f>VLOOKUP(B72, 'Full List'!B:F, 5, FALSE)</f>
        <v>18</v>
      </c>
      <c r="E72" s="13">
        <f>VLOOKUP(B72, 'Full List'!B:G, 6, FALSE)</f>
        <v>222287.26</v>
      </c>
      <c r="F72" s="13">
        <f>VLOOKUP(B72, 'Full List'!B:H, 7, FALSE)</f>
        <v>4001170.68</v>
      </c>
      <c r="G72" s="24" t="s">
        <v>991</v>
      </c>
      <c r="I72" s="17"/>
      <c r="J72" s="17"/>
    </row>
    <row r="73" ht="22.5" customHeight="1">
      <c r="A73" s="8"/>
      <c r="B73" s="9" t="s">
        <v>998</v>
      </c>
      <c r="C73" s="11" t="str">
        <f>VLOOKUP(B73, 'Full List'!B:C, 2, FALSE)</f>
        <v>COUPLING 1305530-143/34</v>
      </c>
      <c r="D73" s="12">
        <f>VLOOKUP(B73, 'Full List'!B:F, 5, FALSE)</f>
        <v>22</v>
      </c>
      <c r="E73" s="13">
        <f>VLOOKUP(B73, 'Full List'!B:G, 6, FALSE)</f>
        <v>29295.89</v>
      </c>
      <c r="F73" s="13">
        <f>VLOOKUP(B73, 'Full List'!B:H, 7, FALSE)</f>
        <v>644509.58</v>
      </c>
      <c r="G73" s="16" t="s">
        <v>1006</v>
      </c>
      <c r="H73" s="14"/>
      <c r="I73" s="18"/>
      <c r="J73" s="18"/>
    </row>
    <row r="74" ht="22.5" customHeight="1">
      <c r="A74" s="8"/>
      <c r="B74" s="9" t="s">
        <v>1012</v>
      </c>
      <c r="C74" s="11" t="str">
        <f>VLOOKUP(B74, 'Full List'!B:C, 2, FALSE)</f>
        <v>BEARING-6002 2ZC3</v>
      </c>
      <c r="D74" s="14">
        <f>VLOOKUP(B74, 'Full List'!B:F, 5, FALSE)</f>
        <v>550</v>
      </c>
      <c r="E74" s="15">
        <f>VLOOKUP(B74, 'Full List'!B:G, 6, FALSE)</f>
        <v>1154.22</v>
      </c>
      <c r="F74" s="15">
        <f>VLOOKUP(B74, 'Full List'!B:H, 7, FALSE)</f>
        <v>634821</v>
      </c>
      <c r="G74" s="16" t="s">
        <v>1020</v>
      </c>
      <c r="H74" s="14"/>
      <c r="I74" s="18"/>
      <c r="J74" s="18"/>
    </row>
    <row r="75" ht="22.5" customHeight="1">
      <c r="A75" s="8"/>
      <c r="B75" s="9" t="s">
        <v>1018</v>
      </c>
      <c r="C75" s="11" t="str">
        <f>VLOOKUP(B75, 'Full List'!B:C, 2, FALSE)</f>
        <v>BEARING 23220 EK/C3</v>
      </c>
      <c r="D75" s="14">
        <f>VLOOKUP(B75, 'Full List'!B:F, 5, FALSE)</f>
        <v>2</v>
      </c>
      <c r="E75" s="15">
        <f>VLOOKUP(B75, 'Full List'!B:G, 6, FALSE)</f>
        <v>137500</v>
      </c>
      <c r="F75" s="15">
        <f>VLOOKUP(B75, 'Full List'!B:H, 7, FALSE)</f>
        <v>275000</v>
      </c>
      <c r="G75" s="16" t="s">
        <v>1029</v>
      </c>
      <c r="H75" s="14"/>
      <c r="I75" s="18"/>
      <c r="J75" s="18"/>
    </row>
  </sheetData>
  <dataValidations>
    <dataValidation type="list" allowBlank="1" sqref="I2:I75">
      <formula1>"Critical,Essential,Desirable"</formula1>
    </dataValidation>
    <dataValidation type="list" allowBlank="1" sqref="J2:J75">
      <formula1>"Non Using(Machine not in use),Using"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B22"/>
    <hyperlink r:id="rId22" ref="G22"/>
    <hyperlink r:id="rId23" ref="G23"/>
    <hyperlink r:id="rId24" ref="G24"/>
    <hyperlink r:id="rId25" ref="G25"/>
    <hyperlink r:id="rId26" ref="G26"/>
    <hyperlink r:id="rId27" ref="G27"/>
    <hyperlink r:id="rId28" ref="G28"/>
    <hyperlink r:id="rId29" ref="G29"/>
    <hyperlink r:id="rId30" ref="G30"/>
    <hyperlink r:id="rId31" ref="G31"/>
    <hyperlink r:id="rId32" ref="G32"/>
    <hyperlink r:id="rId33" ref="G33"/>
    <hyperlink r:id="rId34" ref="G34"/>
    <hyperlink r:id="rId35" ref="G35"/>
    <hyperlink r:id="rId36" ref="G36"/>
    <hyperlink r:id="rId37" ref="G37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B55"/>
    <hyperlink r:id="rId56" ref="G55"/>
    <hyperlink r:id="rId57" ref="G56"/>
    <hyperlink r:id="rId58" ref="G57"/>
    <hyperlink r:id="rId59" ref="G58"/>
    <hyperlink r:id="rId60" ref="G59"/>
    <hyperlink r:id="rId61" ref="G60"/>
    <hyperlink r:id="rId62" ref="G61"/>
    <hyperlink r:id="rId63" ref="G62"/>
    <hyperlink r:id="rId64" ref="B63"/>
    <hyperlink r:id="rId65" ref="G63"/>
    <hyperlink r:id="rId66" ref="G64"/>
    <hyperlink r:id="rId67" ref="G65"/>
    <hyperlink r:id="rId68" ref="G66"/>
    <hyperlink r:id="rId69" ref="G67"/>
    <hyperlink r:id="rId70" ref="G68"/>
    <hyperlink r:id="rId71" ref="G69"/>
    <hyperlink r:id="rId72" ref="G70"/>
    <hyperlink r:id="rId73" ref="G71"/>
    <hyperlink r:id="rId74" ref="G72"/>
    <hyperlink r:id="rId75" ref="G73"/>
    <hyperlink r:id="rId76" ref="G74"/>
    <hyperlink r:id="rId77" ref="G75"/>
  </hyperlinks>
  <drawing r:id="rId78"/>
  <tableParts count="1">
    <tablePart r:id="rId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8.25"/>
    <col customWidth="1" min="4" max="16" width="18.88"/>
  </cols>
  <sheetData>
    <row r="1" ht="22.5" customHeight="1">
      <c r="A1" s="7" t="s">
        <v>13</v>
      </c>
      <c r="B1" s="7" t="s">
        <v>18</v>
      </c>
      <c r="C1" s="7" t="s">
        <v>1</v>
      </c>
      <c r="D1" s="7" t="s">
        <v>19</v>
      </c>
      <c r="E1" s="7" t="s">
        <v>22</v>
      </c>
      <c r="F1" s="7" t="s">
        <v>24</v>
      </c>
      <c r="G1" s="7" t="s">
        <v>25</v>
      </c>
      <c r="H1" s="7" t="s">
        <v>26</v>
      </c>
      <c r="I1" s="7" t="s">
        <v>29</v>
      </c>
      <c r="J1" s="7" t="s">
        <v>30</v>
      </c>
    </row>
    <row r="2" ht="22.5" customHeight="1">
      <c r="A2" s="8">
        <v>46162.725548807866</v>
      </c>
      <c r="B2" s="9" t="s">
        <v>40</v>
      </c>
      <c r="C2" s="14" t="str">
        <f>VLOOKUP(B2, 'Full List'!B:C, 2, FALSE)</f>
        <v>BEARING NU 316 ECJ</v>
      </c>
      <c r="D2" s="15">
        <f>VLOOKUP(B2, 'Full List'!B:G, 6, FALSE)</f>
        <v>54988</v>
      </c>
      <c r="E2" s="14">
        <f>VLOOKUP(B2, 'Full List'!B:F, 5, FALSE)</f>
        <v>4</v>
      </c>
      <c r="F2" s="15">
        <f>VLOOKUP(B2, 'Full List'!B:H, 7, FALSE)</f>
        <v>219952</v>
      </c>
      <c r="G2" s="21" t="s">
        <v>56</v>
      </c>
      <c r="H2" s="14"/>
      <c r="I2" s="17"/>
      <c r="J2" s="18"/>
    </row>
    <row r="3" ht="22.5" customHeight="1">
      <c r="A3" s="20">
        <v>46162.73388824074</v>
      </c>
      <c r="B3" s="22" t="s">
        <v>71</v>
      </c>
      <c r="C3" s="11" t="str">
        <f>VLOOKUP(B3, 'Full List'!B:C, 2, FALSE)</f>
        <v>BEARING NTN 23060BKD1</v>
      </c>
      <c r="D3" s="13">
        <f>VLOOKUP(B3, 'Full List'!B:G, 6, FALSE)</f>
        <v>421500</v>
      </c>
      <c r="E3" s="12">
        <f>VLOOKUP(B3, 'Full List'!B:F, 5, FALSE)</f>
        <v>2</v>
      </c>
      <c r="F3" s="13">
        <f>VLOOKUP(B3, 'Full List'!B:H, 7, FALSE)</f>
        <v>843000</v>
      </c>
      <c r="G3" s="24" t="s">
        <v>87</v>
      </c>
      <c r="I3" s="17"/>
      <c r="J3" s="18"/>
    </row>
    <row r="4" ht="22.5" customHeight="1">
      <c r="A4" s="20">
        <v>46162.736743194444</v>
      </c>
      <c r="B4" s="22" t="s">
        <v>99</v>
      </c>
      <c r="C4" s="11" t="str">
        <f>VLOOKUP(B4, 'Full List'!B:C, 2, FALSE)</f>
        <v>BEARING-(UCHA204)</v>
      </c>
      <c r="D4" s="13">
        <f>VLOOKUP(B4, 'Full List'!B:G, 6, FALSE)</f>
        <v>5190.67</v>
      </c>
      <c r="E4" s="12">
        <f>VLOOKUP(B4, 'Full List'!B:F, 5, FALSE)</f>
        <v>34</v>
      </c>
      <c r="F4" s="13">
        <f>VLOOKUP(B4, 'Full List'!B:H, 7, FALSE)</f>
        <v>176482.78</v>
      </c>
      <c r="G4" s="24" t="s">
        <v>112</v>
      </c>
      <c r="I4" s="17"/>
      <c r="J4" s="18"/>
    </row>
    <row r="5" ht="22.5" customHeight="1">
      <c r="A5" s="20">
        <v>46162.738828622685</v>
      </c>
      <c r="B5" s="22" t="s">
        <v>120</v>
      </c>
      <c r="C5" s="11" t="str">
        <f>VLOOKUP(B5, 'Full List'!B:C, 2, FALSE)</f>
        <v>ONE WAY CLUTCH BEARING CSK30 (30x62x16 mm)</v>
      </c>
      <c r="D5" s="13">
        <f>VLOOKUP(B5, 'Full List'!B:G, 6, FALSE)</f>
        <v>18500</v>
      </c>
      <c r="E5" s="12">
        <f>VLOOKUP(B5, 'Full List'!B:F, 5, FALSE)</f>
        <v>10</v>
      </c>
      <c r="F5" s="13">
        <f>VLOOKUP(B5, 'Full List'!B:H, 7, FALSE)</f>
        <v>185000</v>
      </c>
      <c r="G5" s="25" t="s">
        <v>134</v>
      </c>
      <c r="I5" s="17"/>
      <c r="J5" s="18"/>
    </row>
    <row r="6" ht="22.5" customHeight="1">
      <c r="A6" s="20">
        <v>46162.76176868056</v>
      </c>
      <c r="B6" s="22" t="s">
        <v>143</v>
      </c>
      <c r="C6" s="11" t="str">
        <f>VLOOKUP(B6, 'Full List'!B:C, 2, FALSE)</f>
        <v>BEARING UCPA 205</v>
      </c>
      <c r="D6" s="13">
        <f>VLOOKUP(B6, 'Full List'!B:G, 6, FALSE)</f>
        <v>7418.75</v>
      </c>
      <c r="E6" s="12">
        <f>VLOOKUP(B6, 'Full List'!B:F, 5, FALSE)</f>
        <v>38</v>
      </c>
      <c r="F6" s="13">
        <f>VLOOKUP(B6, 'Full List'!B:H, 7, FALSE)</f>
        <v>281912.5</v>
      </c>
      <c r="G6" s="24" t="s">
        <v>159</v>
      </c>
      <c r="I6" s="17"/>
      <c r="J6" s="18"/>
    </row>
    <row r="7" ht="22.5" customHeight="1">
      <c r="A7" s="20">
        <v>46162.76563340278</v>
      </c>
      <c r="B7" s="22" t="s">
        <v>166</v>
      </c>
      <c r="C7" s="11" t="str">
        <f>VLOOKUP(B7, 'Full List'!B:C, 2, FALSE)</f>
        <v>TURBO CHARGER (317-6388)</v>
      </c>
      <c r="D7" s="13">
        <f>VLOOKUP(B7, 'Full List'!B:G, 6, FALSE)</f>
        <v>892812</v>
      </c>
      <c r="E7" s="12">
        <f>VLOOKUP(B7, 'Full List'!B:F, 5, FALSE)</f>
        <v>1</v>
      </c>
      <c r="F7" s="13">
        <f>VLOOKUP(B7, 'Full List'!B:H, 7, FALSE)</f>
        <v>892812</v>
      </c>
      <c r="G7" s="24" t="s">
        <v>177</v>
      </c>
      <c r="I7" s="17"/>
      <c r="J7" s="18"/>
    </row>
    <row r="8" ht="22.5" customHeight="1">
      <c r="A8" s="20">
        <v>46162.775119363425</v>
      </c>
      <c r="B8" s="22" t="s">
        <v>185</v>
      </c>
      <c r="C8" s="11" t="str">
        <f>VLOOKUP(B8, 'Full List'!B:C, 2, FALSE)</f>
        <v>LIFT CYLINDER SEAL KIT CAT914K (455-2277)</v>
      </c>
      <c r="D8" s="13">
        <f>VLOOKUP(B8, 'Full List'!B:G, 6, FALSE)</f>
        <v>238904.39</v>
      </c>
      <c r="E8" s="12">
        <f>VLOOKUP(B8, 'Full List'!B:F, 5, FALSE)</f>
        <v>3</v>
      </c>
      <c r="F8" s="13">
        <f>VLOOKUP(B8, 'Full List'!B:H, 7, FALSE)</f>
        <v>716713.17</v>
      </c>
      <c r="G8" s="24" t="s">
        <v>216</v>
      </c>
      <c r="I8" s="17"/>
      <c r="J8" s="18"/>
    </row>
    <row r="9" ht="22.5" customHeight="1">
      <c r="A9" s="20">
        <v>46162.77827085648</v>
      </c>
      <c r="B9" s="22" t="s">
        <v>223</v>
      </c>
      <c r="C9" s="11" t="str">
        <f>VLOOKUP(B9, 'Full List'!B:C, 2, FALSE)</f>
        <v>SPIDER GP-(8Y0809)</v>
      </c>
      <c r="D9" s="13">
        <f>VLOOKUP(B9, 'Full List'!B:G, 6, FALSE)</f>
        <v>95939</v>
      </c>
      <c r="E9" s="12">
        <f>VLOOKUP(B9, 'Full List'!B:F, 5, FALSE)</f>
        <v>5</v>
      </c>
      <c r="F9" s="13">
        <f>VLOOKUP(B9, 'Full List'!B:H, 7, FALSE)</f>
        <v>479695</v>
      </c>
      <c r="G9" s="24" t="s">
        <v>232</v>
      </c>
      <c r="I9" s="17"/>
      <c r="J9" s="18"/>
    </row>
    <row r="10" ht="22.5" customHeight="1">
      <c r="A10" s="20">
        <v>46162.78041387731</v>
      </c>
      <c r="B10" s="22" t="s">
        <v>238</v>
      </c>
      <c r="C10" s="11" t="str">
        <f>VLOOKUP(B10, 'Full List'!B:C, 2, FALSE)</f>
        <v>SPIDER &amp;amp; BEARING AS. 5V 1168</v>
      </c>
      <c r="D10" s="13">
        <f>VLOOKUP(B10, 'Full List'!B:G, 6, FALSE)</f>
        <v>82362</v>
      </c>
      <c r="E10" s="12">
        <f>VLOOKUP(B10, 'Full List'!B:F, 5, FALSE)</f>
        <v>4</v>
      </c>
      <c r="F10" s="13">
        <f>VLOOKUP(B10, 'Full List'!B:H, 7, FALSE)</f>
        <v>329448</v>
      </c>
      <c r="G10" s="24" t="s">
        <v>240</v>
      </c>
      <c r="I10" s="17"/>
      <c r="J10" s="18"/>
    </row>
    <row r="11" ht="22.5" customHeight="1">
      <c r="A11" s="20">
        <v>46162.79875572916</v>
      </c>
      <c r="B11" s="22" t="s">
        <v>241</v>
      </c>
      <c r="C11" s="11" t="str">
        <f>VLOOKUP(B11, 'Full List'!B:C, 2, FALSE)</f>
        <v>CONTROL AS-RACK-(7C1514 / 1707670)</v>
      </c>
      <c r="D11" s="13">
        <f>VLOOKUP(B11, 'Full List'!B:G, 6, FALSE)</f>
        <v>324300</v>
      </c>
      <c r="E11" s="12">
        <f>VLOOKUP(B11, 'Full List'!B:F, 5, FALSE)</f>
        <v>1</v>
      </c>
      <c r="F11" s="13">
        <f>VLOOKUP(B11, 'Full List'!B:H, 7, FALSE)</f>
        <v>324300</v>
      </c>
      <c r="G11" s="24" t="s">
        <v>243</v>
      </c>
      <c r="I11" s="17"/>
      <c r="J11" s="18"/>
    </row>
    <row r="12" ht="22.5" customHeight="1">
      <c r="A12" s="20">
        <v>46162.80302792824</v>
      </c>
      <c r="B12" s="22" t="s">
        <v>245</v>
      </c>
      <c r="C12" s="11" t="str">
        <f>VLOOKUP(B12, 'Full List'!B:C, 2, FALSE)</f>
        <v>ARM AS-LIFTER-(7W3989)</v>
      </c>
      <c r="D12" s="13">
        <f>VLOOKUP(B12, 'Full List'!B:G, 6, FALSE)</f>
        <v>40513.2</v>
      </c>
      <c r="E12" s="12">
        <f>VLOOKUP(B12, 'Full List'!B:F, 5, FALSE)</f>
        <v>8</v>
      </c>
      <c r="F12" s="13">
        <f>VLOOKUP(B12, 'Full List'!B:H, 7, FALSE)</f>
        <v>324105.6</v>
      </c>
      <c r="G12" s="24" t="s">
        <v>246</v>
      </c>
      <c r="I12" s="17"/>
      <c r="J12" s="18"/>
    </row>
    <row r="13" ht="22.5" customHeight="1">
      <c r="A13" s="20">
        <v>46162.857932997686</v>
      </c>
      <c r="B13" s="22" t="s">
        <v>248</v>
      </c>
      <c r="C13" s="11" t="str">
        <f>VLOOKUP(B13, 'Full List'!B:C, 2, FALSE)</f>
        <v>PISTON (9C8772)</v>
      </c>
      <c r="D13" s="13">
        <f>VLOOKUP(B13, 'Full List'!B:G, 6, FALSE)</f>
        <v>319890</v>
      </c>
      <c r="E13" s="12">
        <f>VLOOKUP(B13, 'Full List'!B:F, 5, FALSE)</f>
        <v>1</v>
      </c>
      <c r="F13" s="13">
        <f>VLOOKUP(B13, 'Full List'!B:H, 7, FALSE)</f>
        <v>319890</v>
      </c>
      <c r="G13" s="24" t="s">
        <v>249</v>
      </c>
      <c r="I13" s="17"/>
      <c r="J13" s="18"/>
    </row>
    <row r="14" ht="22.5" customHeight="1">
      <c r="A14" s="20">
        <v>46162.87941129629</v>
      </c>
      <c r="B14" s="22" t="s">
        <v>250</v>
      </c>
      <c r="C14" s="11" t="str">
        <f>VLOOKUP(B14, 'Full List'!B:C, 2, FALSE)</f>
        <v>ARM AS-UNIT INJ-(9Y3222)</v>
      </c>
      <c r="D14" s="13">
        <f>VLOOKUP(B14, 'Full List'!B:G, 6, FALSE)</f>
        <v>75322.8</v>
      </c>
      <c r="E14" s="12">
        <f>VLOOKUP(B14, 'Full List'!B:F, 5, FALSE)</f>
        <v>4</v>
      </c>
      <c r="F14" s="13">
        <f>VLOOKUP(B14, 'Full List'!B:H, 7, FALSE)</f>
        <v>301291.2</v>
      </c>
      <c r="G14" s="24" t="s">
        <v>251</v>
      </c>
      <c r="I14" s="17"/>
      <c r="J14" s="18"/>
    </row>
    <row r="15" ht="22.5" customHeight="1">
      <c r="A15" s="20">
        <v>46162.88139408565</v>
      </c>
      <c r="B15" s="22" t="s">
        <v>254</v>
      </c>
      <c r="C15" s="11" t="str">
        <f>VLOOKUP(B15, 'Full List'!B:C, 2, FALSE)</f>
        <v>SUPPORT-SHFT (9Y8534)</v>
      </c>
      <c r="D15" s="13">
        <f>VLOOKUP(B15, 'Full List'!B:G, 6, FALSE)</f>
        <v>69795</v>
      </c>
      <c r="E15" s="12">
        <f>VLOOKUP(B15, 'Full List'!B:F, 5, FALSE)</f>
        <v>4</v>
      </c>
      <c r="F15" s="13">
        <f>VLOOKUP(B15, 'Full List'!B:H, 7, FALSE)</f>
        <v>279180</v>
      </c>
      <c r="G15" s="24" t="s">
        <v>265</v>
      </c>
      <c r="I15" s="17"/>
      <c r="J15" s="18"/>
    </row>
    <row r="16" ht="22.5" customHeight="1">
      <c r="A16" s="20">
        <v>46162.885246562495</v>
      </c>
      <c r="B16" s="22" t="s">
        <v>267</v>
      </c>
      <c r="C16" s="11" t="str">
        <f>VLOOKUP(B16, 'Full List'!B:C, 2, FALSE)</f>
        <v>DISC-FRICTION (6Y7970)</v>
      </c>
      <c r="D16" s="13">
        <f>VLOOKUP(B16, 'Full List'!B:G, 6, FALSE)</f>
        <v>58167.5</v>
      </c>
      <c r="E16" s="12">
        <f>VLOOKUP(B16, 'Full List'!B:F, 5, FALSE)</f>
        <v>4</v>
      </c>
      <c r="F16" s="13">
        <f>VLOOKUP(B16, 'Full List'!B:H, 7, FALSE)</f>
        <v>232670</v>
      </c>
      <c r="G16" s="25" t="s">
        <v>276</v>
      </c>
      <c r="I16" s="17"/>
      <c r="J16" s="18"/>
    </row>
    <row r="17" ht="22.5" customHeight="1">
      <c r="A17" s="20">
        <v>46162.88887435185</v>
      </c>
      <c r="B17" s="22" t="s">
        <v>286</v>
      </c>
      <c r="C17" s="11" t="str">
        <f>VLOOKUP(B17, 'Full List'!B:C, 2, FALSE)</f>
        <v>SLEEVE AS-(CAT 7W5615)</v>
      </c>
      <c r="D17" s="13">
        <f>VLOOKUP(B17, 'Full List'!B:G, 6, FALSE)</f>
        <v>232612.8</v>
      </c>
      <c r="E17" s="12">
        <f>VLOOKUP(B17, 'Full List'!B:F, 5, FALSE)</f>
        <v>1</v>
      </c>
      <c r="F17" s="13">
        <f>VLOOKUP(B17, 'Full List'!B:H, 7, FALSE)</f>
        <v>232612.8</v>
      </c>
      <c r="G17" s="23" t="s">
        <v>307</v>
      </c>
      <c r="I17" s="17"/>
      <c r="J17" s="18"/>
    </row>
    <row r="18" ht="22.5" customHeight="1">
      <c r="A18" s="20">
        <v>46162.89439055556</v>
      </c>
      <c r="B18" s="22" t="s">
        <v>319</v>
      </c>
      <c r="C18" s="11" t="str">
        <f>VLOOKUP(B18, 'Full List'!B:C, 2, FALSE)</f>
        <v>ARM AS-INJECTOR-(7E6794)</v>
      </c>
      <c r="D18" s="13">
        <f>VLOOKUP(B18, 'Full List'!B:G, 6, FALSE)</f>
        <v>49862.4</v>
      </c>
      <c r="E18" s="12">
        <f>VLOOKUP(B18, 'Full List'!B:F, 5, FALSE)</f>
        <v>4</v>
      </c>
      <c r="F18" s="13">
        <f>VLOOKUP(B18, 'Full List'!B:H, 7, FALSE)</f>
        <v>199449.6</v>
      </c>
      <c r="G18" s="23" t="s">
        <v>329</v>
      </c>
      <c r="I18" s="17"/>
      <c r="J18" s="18"/>
    </row>
    <row r="19" ht="22.5" customHeight="1">
      <c r="A19" s="20">
        <v>46162.906993171295</v>
      </c>
      <c r="B19" s="22" t="s">
        <v>339</v>
      </c>
      <c r="C19" s="11" t="str">
        <f>VLOOKUP(B19, 'Full List'!B:C, 2, FALSE)</f>
        <v>SEPARATOR (9C5687)</v>
      </c>
      <c r="D19" s="13">
        <f>VLOOKUP(B19, 'Full List'!B:G, 6, FALSE)</f>
        <v>193450</v>
      </c>
      <c r="E19" s="12">
        <f>VLOOKUP(B19, 'Full List'!B:F, 5, FALSE)</f>
        <v>1</v>
      </c>
      <c r="F19" s="13">
        <f>VLOOKUP(B19, 'Full List'!B:H, 7, FALSE)</f>
        <v>193450</v>
      </c>
      <c r="G19" s="25" t="s">
        <v>351</v>
      </c>
      <c r="I19" s="17"/>
      <c r="J19" s="18"/>
    </row>
    <row r="20" ht="22.5" customHeight="1">
      <c r="A20" s="20">
        <v>46162.90889390046</v>
      </c>
      <c r="B20" s="22" t="s">
        <v>359</v>
      </c>
      <c r="C20" s="11" t="str">
        <f>VLOOKUP(B20, 'Full List'!B:C, 2, FALSE)</f>
        <v>ARM AS (7W4338 / 6I0924)</v>
      </c>
      <c r="D20" s="13">
        <f>VLOOKUP(B20, 'Full List'!B:G, 6, FALSE)</f>
        <v>23550</v>
      </c>
      <c r="E20" s="12">
        <f>VLOOKUP(B20, 'Full List'!B:F, 5, FALSE)</f>
        <v>8</v>
      </c>
      <c r="F20" s="13">
        <f>VLOOKUP(B20, 'Full List'!B:H, 7, FALSE)</f>
        <v>188400</v>
      </c>
      <c r="G20" s="23" t="s">
        <v>374</v>
      </c>
      <c r="I20" s="17"/>
      <c r="J20" s="18"/>
    </row>
    <row r="21" ht="22.5" customHeight="1">
      <c r="A21" s="20">
        <v>46162.91045171296</v>
      </c>
      <c r="B21" s="22" t="s">
        <v>380</v>
      </c>
      <c r="C21" s="11" t="str">
        <f>VLOOKUP(B21, 'Full List'!B:C, 2, FALSE)</f>
        <v>TOEPLATE BOLT ON 88? WIDE-(332/F8813)</v>
      </c>
      <c r="D21" s="13">
        <f>VLOOKUP(B21, 'Full List'!B:G, 6, FALSE)</f>
        <v>440150</v>
      </c>
      <c r="E21" s="12">
        <f>VLOOKUP(B21, 'Full List'!B:F, 5, FALSE)</f>
        <v>2</v>
      </c>
      <c r="F21" s="13">
        <f>VLOOKUP(B21, 'Full List'!B:H, 7, FALSE)</f>
        <v>880300</v>
      </c>
      <c r="G21" s="23" t="s">
        <v>391</v>
      </c>
      <c r="I21" s="17"/>
      <c r="J21" s="18"/>
    </row>
    <row r="22" ht="22.5" customHeight="1">
      <c r="A22" s="20">
        <v>46162.912937824076</v>
      </c>
      <c r="B22" s="22" t="s">
        <v>399</v>
      </c>
      <c r="C22" s="11" t="str">
        <f>VLOOKUP(B22, 'Full List'!B:C, 2, FALSE)</f>
        <v>BACKLE ASS'Y (3EB-50-50872) FOR FD30T/17 KOMATSU FORKLIFT</v>
      </c>
      <c r="D22" s="13">
        <f>VLOOKUP(B22, 'Full List'!B:G, 6, FALSE)</f>
        <v>63110</v>
      </c>
      <c r="E22" s="12">
        <f>VLOOKUP(B22, 'Full List'!B:F, 5, FALSE)</f>
        <v>11</v>
      </c>
      <c r="F22" s="13">
        <f>VLOOKUP(B22, 'Full List'!B:H, 7, FALSE)</f>
        <v>694210</v>
      </c>
      <c r="G22" s="23" t="s">
        <v>411</v>
      </c>
      <c r="I22" s="17"/>
      <c r="J22" s="18"/>
    </row>
    <row r="23" ht="22.5" customHeight="1">
      <c r="A23" s="20">
        <v>46162.917454131944</v>
      </c>
      <c r="B23" s="22" t="s">
        <v>418</v>
      </c>
      <c r="C23" s="11" t="str">
        <f>VLOOKUP(B23, 'Full List'!B:C, 2, FALSE)</f>
        <v>BELT ASS'Y (3EB-50-50862) FOR FD30T/17 KOMATSU FORKLIFT</v>
      </c>
      <c r="D23" s="13">
        <f>VLOOKUP(B23, 'Full List'!B:G, 6, FALSE)</f>
        <v>103521</v>
      </c>
      <c r="E23" s="12">
        <f>VLOOKUP(B23, 'Full List'!B:F, 5, FALSE)</f>
        <v>8</v>
      </c>
      <c r="F23" s="13">
        <f>VLOOKUP(B23, 'Full List'!B:H, 7, FALSE)</f>
        <v>828168</v>
      </c>
      <c r="G23" s="23" t="s">
        <v>436</v>
      </c>
      <c r="I23" s="17"/>
      <c r="J23" s="18"/>
    </row>
    <row r="24" ht="22.5" customHeight="1">
      <c r="A24" s="20">
        <v>46163.26751697916</v>
      </c>
      <c r="B24" s="22" t="s">
        <v>442</v>
      </c>
      <c r="C24" s="11" t="str">
        <f>VLOOKUP(B24, 'Full List'!B:C, 2, FALSE)</f>
        <v>SHAFT AS-ARM (9Y8532 / 4P7790)</v>
      </c>
      <c r="D24" s="13">
        <f>VLOOKUP(B24, 'Full List'!B:G, 6, FALSE)</f>
        <v>154320</v>
      </c>
      <c r="E24" s="12">
        <f>VLOOKUP(B24, 'Full List'!B:F, 5, FALSE)</f>
        <v>4</v>
      </c>
      <c r="F24" s="13">
        <f>VLOOKUP(B24, 'Full List'!B:H, 7, FALSE)</f>
        <v>617280</v>
      </c>
      <c r="G24" s="23" t="s">
        <v>455</v>
      </c>
      <c r="I24" s="17"/>
      <c r="J24" s="18"/>
    </row>
    <row r="25" ht="22.5" customHeight="1">
      <c r="A25" s="20">
        <v>46163.26861591435</v>
      </c>
      <c r="B25" s="22" t="s">
        <v>462</v>
      </c>
      <c r="C25" s="11" t="str">
        <f>VLOOKUP(B25, 'Full List'!B:C, 2, FALSE)</f>
        <v>ARM AS-UNIT INJ (9Y3222 / 1051776)</v>
      </c>
      <c r="D25" s="13">
        <f>VLOOKUP(B25, 'Full List'!B:G, 6, FALSE)</f>
        <v>68090.4</v>
      </c>
      <c r="E25" s="12">
        <f>VLOOKUP(B25, 'Full List'!B:F, 5, FALSE)</f>
        <v>4</v>
      </c>
      <c r="F25" s="13">
        <f>VLOOKUP(B25, 'Full List'!B:H, 7, FALSE)</f>
        <v>272361.6</v>
      </c>
      <c r="G25" s="23" t="s">
        <v>467</v>
      </c>
      <c r="I25" s="17"/>
      <c r="J25" s="18"/>
    </row>
    <row r="26" ht="22.5" customHeight="1">
      <c r="A26" s="20">
        <v>46163.27002732639</v>
      </c>
      <c r="B26" s="22" t="s">
        <v>471</v>
      </c>
      <c r="C26" s="11" t="str">
        <f>VLOOKUP(B26, 'Full List'!B:C, 2, FALSE)</f>
        <v>MOUNT-(3EB-01-31640)</v>
      </c>
      <c r="D26" s="13">
        <f>VLOOKUP(B26, 'Full List'!B:G, 6, FALSE)</f>
        <v>27300</v>
      </c>
      <c r="E26" s="12">
        <f>VLOOKUP(B26, 'Full List'!B:F, 5, FALSE)</f>
        <v>8</v>
      </c>
      <c r="F26" s="13">
        <f>VLOOKUP(B26, 'Full List'!B:H, 7, FALSE)</f>
        <v>218400</v>
      </c>
      <c r="G26" s="23" t="s">
        <v>479</v>
      </c>
      <c r="I26" s="17"/>
      <c r="J26" s="18"/>
    </row>
    <row r="27" ht="22.5" customHeight="1">
      <c r="A27" s="20">
        <v>46163.27092717592</v>
      </c>
      <c r="C27" s="11" t="str">
        <f>VLOOKUP(B27, 'Full List'!B:C, 2, FALSE)</f>
        <v>#N/A</v>
      </c>
      <c r="D27" s="12" t="str">
        <f>VLOOKUP(B27, 'Full List'!B:G, 6, FALSE)</f>
        <v>#N/A</v>
      </c>
      <c r="E27" s="12" t="str">
        <f>VLOOKUP(B27, 'Full List'!B:F, 5, FALSE)</f>
        <v>#N/A</v>
      </c>
      <c r="F27" s="12" t="str">
        <f>VLOOKUP(B27, 'Full List'!B:H, 7, FALSE)</f>
        <v>#N/A</v>
      </c>
      <c r="G27" s="27"/>
      <c r="I27" s="17"/>
      <c r="J27" s="18"/>
    </row>
    <row r="28" ht="22.5" customHeight="1">
      <c r="A28" s="20">
        <v>46163.284009930554</v>
      </c>
      <c r="B28" s="22" t="s">
        <v>498</v>
      </c>
      <c r="C28" s="11" t="str">
        <f>VLOOKUP(B28, 'Full List'!B:C, 2, FALSE)</f>
        <v>ELEMENT-AIR CLEANER INNER-8N2556</v>
      </c>
      <c r="D28" s="13">
        <f>VLOOKUP(B28, 'Full List'!B:G, 6, FALSE)</f>
        <v>137478.16</v>
      </c>
      <c r="E28" s="12">
        <f>VLOOKUP(B28, 'Full List'!B:F, 5, FALSE)</f>
        <v>5</v>
      </c>
      <c r="F28" s="13">
        <f>VLOOKUP(B28, 'Full List'!B:H, 7, FALSE)</f>
        <v>687390.8</v>
      </c>
      <c r="G28" s="24" t="s">
        <v>510</v>
      </c>
      <c r="I28" s="17"/>
      <c r="J28" s="18"/>
    </row>
    <row r="29" ht="22.5" customHeight="1">
      <c r="A29" s="20">
        <v>46163.28591015046</v>
      </c>
      <c r="B29" s="22" t="s">
        <v>517</v>
      </c>
      <c r="C29" s="11" t="str">
        <f>VLOOKUP(B29, 'Full List'!B:C, 2, FALSE)</f>
        <v>VALVE OIL TEMPERATURE BYPASS (39902374)</v>
      </c>
      <c r="D29" s="13">
        <f>VLOOKUP(B29, 'Full List'!B:G, 6, FALSE)</f>
        <v>188400</v>
      </c>
      <c r="E29" s="12">
        <f>VLOOKUP(B29, 'Full List'!B:F, 5, FALSE)</f>
        <v>1</v>
      </c>
      <c r="F29" s="13">
        <f>VLOOKUP(B29, 'Full List'!B:H, 7, FALSE)</f>
        <v>188400</v>
      </c>
      <c r="G29" s="23" t="s">
        <v>525</v>
      </c>
      <c r="I29" s="17"/>
      <c r="J29" s="18"/>
    </row>
    <row r="30" ht="22.5" customHeight="1">
      <c r="A30" s="20">
        <v>46163.2877691551</v>
      </c>
      <c r="B30" s="22" t="s">
        <v>532</v>
      </c>
      <c r="C30" s="11" t="str">
        <f>VLOOKUP(B30, 'Full List'!B:C, 2, FALSE)</f>
        <v>VALVE, REGULATOR (100 &amp;125 PSI) - (39905542)</v>
      </c>
      <c r="D30" s="13">
        <f>VLOOKUP(B30, 'Full List'!B:G, 6, FALSE)</f>
        <v>203686</v>
      </c>
      <c r="E30" s="12">
        <f>VLOOKUP(B30, 'Full List'!B:F, 5, FALSE)</f>
        <v>2</v>
      </c>
      <c r="F30" s="13">
        <f>VLOOKUP(B30, 'Full List'!B:H, 7, FALSE)</f>
        <v>407372</v>
      </c>
      <c r="G30" s="24" t="s">
        <v>544</v>
      </c>
      <c r="I30" s="17"/>
      <c r="J30" s="18"/>
    </row>
    <row r="31" ht="22.5" customHeight="1">
      <c r="A31" s="20">
        <v>46163.28924708333</v>
      </c>
      <c r="B31" s="22" t="s">
        <v>551</v>
      </c>
      <c r="C31" s="11" t="str">
        <f>VLOOKUP(B31, 'Full List'!B:C, 2, FALSE)</f>
        <v>Valve blowdown .50 NPT (39120472)</v>
      </c>
      <c r="D31" s="13">
        <f>VLOOKUP(B31, 'Full List'!B:G, 6, FALSE)</f>
        <v>92422.01</v>
      </c>
      <c r="E31" s="12">
        <f>VLOOKUP(B31, 'Full List'!B:F, 5, FALSE)</f>
        <v>2</v>
      </c>
      <c r="F31" s="13">
        <f>VLOOKUP(B31, 'Full List'!B:H, 7, FALSE)</f>
        <v>184844.02</v>
      </c>
      <c r="G31" s="23" t="s">
        <v>560</v>
      </c>
      <c r="I31" s="17"/>
      <c r="J31" s="18"/>
    </row>
    <row r="32" ht="22.5" customHeight="1">
      <c r="A32" s="20">
        <v>46163.290341342596</v>
      </c>
      <c r="B32" s="22" t="s">
        <v>567</v>
      </c>
      <c r="C32" s="11" t="str">
        <f>VLOOKUP(B32, 'Full List'!B:C, 2, FALSE)</f>
        <v>VALVE SOLENOID 3-WAY - (39530852)</v>
      </c>
      <c r="D32" s="13">
        <f>VLOOKUP(B32, 'Full List'!B:G, 6, FALSE)</f>
        <v>61330</v>
      </c>
      <c r="E32" s="12">
        <f>VLOOKUP(B32, 'Full List'!B:F, 5, FALSE)</f>
        <v>3</v>
      </c>
      <c r="F32" s="13">
        <f>VLOOKUP(B32, 'Full List'!B:H, 7, FALSE)</f>
        <v>183990</v>
      </c>
      <c r="G32" s="23" t="s">
        <v>574</v>
      </c>
      <c r="I32" s="17"/>
      <c r="J32" s="18"/>
    </row>
    <row r="33" ht="22.5" customHeight="1">
      <c r="A33" s="20">
        <v>46163.29204866898</v>
      </c>
      <c r="B33" s="22" t="s">
        <v>581</v>
      </c>
      <c r="C33" s="11" t="str">
        <f>VLOOKUP(B33, 'Full List'!B:C, 2, FALSE)</f>
        <v>Valve oil stop 1.3L SAE (39476569)</v>
      </c>
      <c r="D33" s="13">
        <f>VLOOKUP(B33, 'Full List'!B:G, 6, FALSE)</f>
        <v>285733.33</v>
      </c>
      <c r="E33" s="12">
        <f>VLOOKUP(B33, 'Full List'!B:F, 5, FALSE)</f>
        <v>3</v>
      </c>
      <c r="F33" s="13">
        <f>VLOOKUP(B33, 'Full List'!B:H, 7, FALSE)</f>
        <v>857199.99</v>
      </c>
      <c r="G33" s="23" t="s">
        <v>589</v>
      </c>
      <c r="I33" s="17"/>
      <c r="J33" s="18"/>
    </row>
    <row r="34" ht="22.5" customHeight="1">
      <c r="A34" s="20">
        <v>46163.29336311342</v>
      </c>
      <c r="B34" s="22" t="s">
        <v>596</v>
      </c>
      <c r="C34" s="11" t="str">
        <f>VLOOKUP(B34, 'Full List'!B:C, 2, FALSE)</f>
        <v>LINE FILTER ELEMENT (CCN 85565943)</v>
      </c>
      <c r="D34" s="13">
        <f>VLOOKUP(B34, 'Full List'!B:G, 6, FALSE)</f>
        <v>164300</v>
      </c>
      <c r="E34" s="12">
        <f>VLOOKUP(B34, 'Full List'!B:F, 5, FALSE)</f>
        <v>4</v>
      </c>
      <c r="F34" s="13">
        <f>VLOOKUP(B34, 'Full List'!B:H, 7, FALSE)</f>
        <v>657200</v>
      </c>
      <c r="G34" s="24" t="s">
        <v>604</v>
      </c>
      <c r="I34" s="17"/>
      <c r="J34" s="18"/>
    </row>
    <row r="35" ht="22.5" customHeight="1">
      <c r="A35" s="20">
        <v>46163.294681099535</v>
      </c>
      <c r="B35" s="22" t="s">
        <v>613</v>
      </c>
      <c r="C35" s="11" t="str">
        <f>VLOOKUP(B35, 'Full List'!B:C, 2, FALSE)</f>
        <v>ELEMENT-AIR CLEANER OUTER-8N6309</v>
      </c>
      <c r="D35" s="13">
        <f>VLOOKUP(B35, 'Full List'!B:G, 6, FALSE)</f>
        <v>130500.25</v>
      </c>
      <c r="E35" s="12">
        <f>VLOOKUP(B35, 'Full List'!B:F, 5, FALSE)</f>
        <v>2</v>
      </c>
      <c r="F35" s="13">
        <f>VLOOKUP(B35, 'Full List'!B:H, 7, FALSE)</f>
        <v>261000.5</v>
      </c>
      <c r="G35" s="24" t="s">
        <v>625</v>
      </c>
      <c r="I35" s="17"/>
      <c r="J35" s="18"/>
    </row>
    <row r="36" ht="22.5" customHeight="1">
      <c r="A36" s="20">
        <v>46163.29601643518</v>
      </c>
      <c r="B36" s="22" t="s">
        <v>631</v>
      </c>
      <c r="C36" s="11" t="str">
        <f>VLOOKUP(B36, 'Full List'!B:C, 2, FALSE)</f>
        <v>FILTER-COOLANT-39911631</v>
      </c>
      <c r="D36" s="13">
        <f>VLOOKUP(B36, 'Full List'!B:G, 6, FALSE)</f>
        <v>46380.04</v>
      </c>
      <c r="E36" s="12">
        <f>VLOOKUP(B36, 'Full List'!B:F, 5, FALSE)</f>
        <v>6</v>
      </c>
      <c r="F36" s="13">
        <f>VLOOKUP(B36, 'Full List'!B:H, 7, FALSE)</f>
        <v>278280.24</v>
      </c>
      <c r="G36" s="23" t="s">
        <v>642</v>
      </c>
      <c r="I36" s="17"/>
      <c r="J36" s="18"/>
    </row>
    <row r="37" ht="22.5" customHeight="1">
      <c r="A37" s="20">
        <v>46163.29720857639</v>
      </c>
      <c r="B37" s="23" t="s">
        <v>650</v>
      </c>
      <c r="C37" s="11" t="str">
        <f>VLOOKUP(B37, 'Full List'!B:C, 2, FALSE)</f>
        <v>HOSE (1625595500)</v>
      </c>
      <c r="D37" s="13">
        <f>VLOOKUP(B37, 'Full List'!B:G, 6, FALSE)</f>
        <v>528605.7</v>
      </c>
      <c r="E37" s="12">
        <f>VLOOKUP(B37, 'Full List'!B:F, 5, FALSE)</f>
        <v>1</v>
      </c>
      <c r="F37" s="13">
        <f>VLOOKUP(B37, 'Full List'!B:H, 7, FALSE)</f>
        <v>528605.7</v>
      </c>
      <c r="G37" s="23" t="s">
        <v>669</v>
      </c>
      <c r="I37" s="17"/>
      <c r="J37" s="18"/>
    </row>
    <row r="38" ht="22.5" customHeight="1">
      <c r="A38" s="20">
        <v>46163.29885283565</v>
      </c>
      <c r="B38" s="25" t="s">
        <v>678</v>
      </c>
      <c r="C38" s="11" t="str">
        <f>VLOOKUP(B38, 'Full List'!B:C, 2, FALSE)</f>
        <v>GA 75 Hose - (1625 5953 00)</v>
      </c>
      <c r="D38" s="13">
        <f>VLOOKUP(B38, 'Full List'!B:G, 6, FALSE)</f>
        <v>478500</v>
      </c>
      <c r="E38" s="12">
        <f>VLOOKUP(B38, 'Full List'!B:F, 5, FALSE)</f>
        <v>1</v>
      </c>
      <c r="F38" s="13">
        <f>VLOOKUP(B38, 'Full List'!B:H, 7, FALSE)</f>
        <v>478500</v>
      </c>
      <c r="G38" s="23" t="s">
        <v>691</v>
      </c>
      <c r="I38" s="17"/>
      <c r="J38" s="18"/>
    </row>
    <row r="39" ht="22.5" customHeight="1">
      <c r="A39" s="20">
        <v>46163.300390648146</v>
      </c>
      <c r="B39" s="22" t="s">
        <v>699</v>
      </c>
      <c r="C39" s="11" t="str">
        <f>VLOOKUP(B39, 'Full List'!B:C, 2, FALSE)</f>
        <v>Valve control 3 way (39497672)</v>
      </c>
      <c r="D39" s="13">
        <f>VLOOKUP(B39, 'Full List'!B:G, 6, FALSE)</f>
        <v>167580</v>
      </c>
      <c r="E39" s="12">
        <f>VLOOKUP(B39, 'Full List'!B:F, 5, FALSE)</f>
        <v>2</v>
      </c>
      <c r="F39" s="13">
        <f>VLOOKUP(B39, 'Full List'!B:H, 7, FALSE)</f>
        <v>335160</v>
      </c>
      <c r="G39" s="24" t="s">
        <v>713</v>
      </c>
      <c r="I39" s="17"/>
      <c r="J39" s="18"/>
    </row>
    <row r="40" ht="22.5" customHeight="1">
      <c r="A40" s="20">
        <v>46163.30153001157</v>
      </c>
      <c r="B40" s="22" t="s">
        <v>719</v>
      </c>
      <c r="C40" s="11" t="str">
        <f>VLOOKUP(B40, 'Full List'!B:C, 2, FALSE)</f>
        <v>NOZZLE-AIRLESS 3660120036</v>
      </c>
      <c r="D40" s="13">
        <f>VLOOKUP(B40, 'Full List'!B:G, 6, FALSE)</f>
        <v>5752.47</v>
      </c>
      <c r="E40" s="12">
        <f>VLOOKUP(B40, 'Full List'!B:F, 5, FALSE)</f>
        <v>186</v>
      </c>
      <c r="F40" s="13">
        <f>VLOOKUP(B40, 'Full List'!B:H, 7, FALSE)</f>
        <v>1069959.42</v>
      </c>
      <c r="G40" s="24" t="s">
        <v>725</v>
      </c>
      <c r="I40" s="17"/>
      <c r="J40" s="18"/>
    </row>
    <row r="41" ht="22.5" customHeight="1">
      <c r="A41" s="20">
        <v>46163.302508796296</v>
      </c>
      <c r="B41" s="22" t="s">
        <v>732</v>
      </c>
      <c r="C41" s="11" t="str">
        <f>VLOOKUP(B41, 'Full List'!B:C, 2, FALSE)</f>
        <v>BLACK BALL FOR PUMP 3D (59975010700)</v>
      </c>
      <c r="D41" s="13">
        <f>VLOOKUP(B41, 'Full List'!B:G, 6, FALSE)</f>
        <v>45459.56</v>
      </c>
      <c r="E41" s="12">
        <f>VLOOKUP(B41, 'Full List'!B:F, 5, FALSE)</f>
        <v>12</v>
      </c>
      <c r="F41" s="13">
        <f>VLOOKUP(B41, 'Full List'!B:H, 7, FALSE)</f>
        <v>545514.72</v>
      </c>
      <c r="G41" s="24" t="s">
        <v>741</v>
      </c>
      <c r="I41" s="17"/>
      <c r="J41" s="18"/>
    </row>
    <row r="42" ht="22.5" customHeight="1">
      <c r="A42" s="20">
        <v>46163.30378159722</v>
      </c>
      <c r="B42" s="22" t="s">
        <v>747</v>
      </c>
      <c r="C42" s="11" t="str">
        <f>VLOOKUP(B42, 'Full List'!B:C, 2, FALSE)</f>
        <v>NOZZLE-AIRLESS 3495079 031</v>
      </c>
      <c r="D42" s="13">
        <f>VLOOKUP(B42, 'Full List'!B:G, 6, FALSE)</f>
        <v>10454.37</v>
      </c>
      <c r="E42" s="12">
        <f>VLOOKUP(B42, 'Full List'!B:F, 5, FALSE)</f>
        <v>35</v>
      </c>
      <c r="F42" s="13">
        <f>VLOOKUP(B42, 'Full List'!B:H, 7, FALSE)</f>
        <v>365902.95</v>
      </c>
      <c r="G42" s="24" t="s">
        <v>758</v>
      </c>
      <c r="I42" s="17"/>
      <c r="J42" s="18"/>
    </row>
    <row r="43" ht="22.5" customHeight="1">
      <c r="A43" s="20">
        <v>46163.30496376158</v>
      </c>
      <c r="B43" s="22" t="s">
        <v>764</v>
      </c>
      <c r="C43" s="11" t="str">
        <f>VLOOKUP(B43, 'Full List'!B:C, 2, FALSE)</f>
        <v>SAFETY PRESSURE CONTROL (05.70.010)</v>
      </c>
      <c r="D43" s="13">
        <f>VLOOKUP(B43, 'Full List'!B:G, 6, FALSE)</f>
        <v>77141.57</v>
      </c>
      <c r="E43" s="12">
        <f>VLOOKUP(B43, 'Full List'!B:F, 5, FALSE)</f>
        <v>4</v>
      </c>
      <c r="F43" s="13">
        <f>VLOOKUP(B43, 'Full List'!B:H, 7, FALSE)</f>
        <v>308566.28</v>
      </c>
      <c r="G43" s="24" t="s">
        <v>770</v>
      </c>
      <c r="I43" s="17"/>
      <c r="J43" s="18"/>
    </row>
    <row r="44" ht="22.5" customHeight="1">
      <c r="A44" s="20">
        <v>46163.30601042824</v>
      </c>
      <c r="B44" s="22" t="s">
        <v>779</v>
      </c>
      <c r="C44" s="11" t="str">
        <f>VLOOKUP(B44, 'Full List'!B:C, 2, FALSE)</f>
        <v>AIRLESS NOZZLE TC 0.023</v>
      </c>
      <c r="D44" s="13">
        <f>VLOOKUP(B44, 'Full List'!B:G, 6, FALSE)</f>
        <v>5481.89</v>
      </c>
      <c r="E44" s="12">
        <f>VLOOKUP(B44, 'Full List'!B:F, 5, FALSE)</f>
        <v>50</v>
      </c>
      <c r="F44" s="13">
        <f>VLOOKUP(B44, 'Full List'!B:H, 7, FALSE)</f>
        <v>274094.5</v>
      </c>
      <c r="G44" s="24" t="s">
        <v>789</v>
      </c>
      <c r="I44" s="17"/>
      <c r="J44" s="18"/>
    </row>
    <row r="45" ht="22.5" customHeight="1">
      <c r="A45" s="20">
        <v>46163.307530439815</v>
      </c>
      <c r="B45" s="22" t="s">
        <v>796</v>
      </c>
      <c r="C45" s="11" t="str">
        <f>VLOOKUP(B45, 'Full List'!B:C, 2, FALSE)</f>
        <v>SHAFT (05.70.115)</v>
      </c>
      <c r="D45" s="13">
        <f>VLOOKUP(B45, 'Full List'!B:G, 6, FALSE)</f>
        <v>82899.39</v>
      </c>
      <c r="E45" s="12">
        <f>VLOOKUP(B45, 'Full List'!B:F, 5, FALSE)</f>
        <v>3</v>
      </c>
      <c r="F45" s="13">
        <f>VLOOKUP(B45, 'Full List'!B:H, 7, FALSE)</f>
        <v>248698.17</v>
      </c>
      <c r="G45" s="24" t="s">
        <v>802</v>
      </c>
      <c r="I45" s="17"/>
      <c r="J45" s="18"/>
    </row>
    <row r="46" ht="22.5" customHeight="1">
      <c r="A46" s="20">
        <v>46163.30833143518</v>
      </c>
      <c r="B46" s="22" t="s">
        <v>810</v>
      </c>
      <c r="C46" s="11" t="str">
        <f>VLOOKUP(B46, 'Full List'!B:C, 2, FALSE)</f>
        <v>YELLOW BALL VALVE (PR20013)</v>
      </c>
      <c r="D46" s="13">
        <f>VLOOKUP(B46, 'Full List'!B:G, 6, FALSE)</f>
        <v>25564.12</v>
      </c>
      <c r="E46" s="12">
        <f>VLOOKUP(B46, 'Full List'!B:F, 5, FALSE)</f>
        <v>7</v>
      </c>
      <c r="F46" s="13">
        <f>VLOOKUP(B46, 'Full List'!B:H, 7, FALSE)</f>
        <v>178948.84</v>
      </c>
      <c r="G46" s="25" t="s">
        <v>822</v>
      </c>
      <c r="I46" s="17"/>
      <c r="J46" s="18"/>
    </row>
    <row r="47" ht="22.5" customHeight="1">
      <c r="A47" s="20">
        <v>46163.309462777775</v>
      </c>
      <c r="B47" s="22" t="s">
        <v>827</v>
      </c>
      <c r="C47" s="11" t="str">
        <f>VLOOKUP(B47, 'Full List'!B:C, 2, FALSE)</f>
        <v>BALL VALVE PTFE-(05.70.018)</v>
      </c>
      <c r="D47" s="13">
        <f>VLOOKUP(B47, 'Full List'!B:G, 6, FALSE)</f>
        <v>21966.86</v>
      </c>
      <c r="E47" s="12">
        <f>VLOOKUP(B47, 'Full List'!B:F, 5, FALSE)</f>
        <v>9</v>
      </c>
      <c r="F47" s="13">
        <f>VLOOKUP(B47, 'Full List'!B:H, 7, FALSE)</f>
        <v>197701.74</v>
      </c>
      <c r="G47" s="24" t="s">
        <v>866</v>
      </c>
      <c r="I47" s="17"/>
      <c r="J47" s="18"/>
    </row>
    <row r="48" ht="22.5" customHeight="1">
      <c r="A48" s="20">
        <v>46163.31074511574</v>
      </c>
      <c r="B48" s="22" t="s">
        <v>876</v>
      </c>
      <c r="C48" s="11" t="str">
        <f>VLOOKUP(B48, 'Full List'!B:C, 2, FALSE)</f>
        <v>ROLLER (19.26.001)</v>
      </c>
      <c r="D48" s="13">
        <f>VLOOKUP(B48, 'Full List'!B:G, 6, FALSE)</f>
        <v>107455.85</v>
      </c>
      <c r="E48" s="12">
        <f>VLOOKUP(B48, 'Full List'!B:F, 5, FALSE)</f>
        <v>3</v>
      </c>
      <c r="F48" s="13">
        <f>VLOOKUP(B48, 'Full List'!B:H, 7, FALSE)</f>
        <v>322367.55</v>
      </c>
      <c r="G48" s="24" t="s">
        <v>887</v>
      </c>
      <c r="I48" s="17"/>
      <c r="J48" s="18"/>
    </row>
    <row r="49" ht="22.5" customHeight="1">
      <c r="A49" s="20">
        <v>46163.31323478009</v>
      </c>
      <c r="B49" s="22" t="s">
        <v>895</v>
      </c>
      <c r="C49" s="11" t="str">
        <f>VLOOKUP(B49, 'Full List'!B:C, 2, FALSE)</f>
        <v>SHAFT 000-22194</v>
      </c>
      <c r="D49" s="13">
        <f>VLOOKUP(B49, 'Full List'!B:G, 6, FALSE)</f>
        <v>137489.65</v>
      </c>
      <c r="E49" s="12">
        <f>VLOOKUP(B49, 'Full List'!B:F, 5, FALSE)</f>
        <v>2</v>
      </c>
      <c r="F49" s="13">
        <f>VLOOKUP(B49, 'Full List'!B:H, 7, FALSE)</f>
        <v>274979.3</v>
      </c>
      <c r="G49" s="23" t="s">
        <v>907</v>
      </c>
      <c r="I49" s="17"/>
      <c r="J49" s="18"/>
    </row>
    <row r="50" ht="22.5" customHeight="1">
      <c r="A50" s="20">
        <v>46163.31525641204</v>
      </c>
      <c r="B50" s="22" t="s">
        <v>913</v>
      </c>
      <c r="C50" s="11" t="str">
        <f>VLOOKUP(B50, 'Full List'!B:C, 2, FALSE)</f>
        <v>SHAFT-000-22136</v>
      </c>
      <c r="D50" s="13">
        <f>VLOOKUP(B50, 'Full List'!B:G, 6, FALSE)</f>
        <v>36447.48</v>
      </c>
      <c r="E50" s="12">
        <f>VLOOKUP(B50, 'Full List'!B:F, 5, FALSE)</f>
        <v>6</v>
      </c>
      <c r="F50" s="13">
        <f>VLOOKUP(B50, 'Full List'!B:H, 7, FALSE)</f>
        <v>218684.88</v>
      </c>
      <c r="G50" s="24" t="s">
        <v>924</v>
      </c>
      <c r="I50" s="17"/>
      <c r="J50" s="18"/>
    </row>
    <row r="51" ht="22.5" customHeight="1">
      <c r="A51" s="20">
        <v>46163.31646824074</v>
      </c>
      <c r="B51" s="22" t="s">
        <v>877</v>
      </c>
      <c r="C51" s="11" t="str">
        <f>VLOOKUP(B51, 'Full List'!B:C, 2, FALSE)</f>
        <v>PULLEY-420880149</v>
      </c>
      <c r="D51" s="13">
        <f>VLOOKUP(B51, 'Full List'!B:G, 6, FALSE)</f>
        <v>21429.96</v>
      </c>
      <c r="E51" s="12">
        <f>VLOOKUP(B51, 'Full List'!B:F, 5, FALSE)</f>
        <v>44</v>
      </c>
      <c r="F51" s="13">
        <f>VLOOKUP(B51, 'Full List'!B:H, 7, FALSE)</f>
        <v>942918.24</v>
      </c>
      <c r="G51" s="24" t="s">
        <v>937</v>
      </c>
      <c r="I51" s="17"/>
      <c r="J51" s="18"/>
    </row>
    <row r="52" ht="22.5" customHeight="1">
      <c r="A52" s="20">
        <v>46163.31781083334</v>
      </c>
      <c r="B52" s="22" t="s">
        <v>942</v>
      </c>
      <c r="C52" s="11" t="str">
        <f>VLOOKUP(B52, 'Full List'!B:C, 2, FALSE)</f>
        <v>PULLEY 1B 80 FOLLE + 6204 2RS-(12.05.006)</v>
      </c>
      <c r="D52" s="13">
        <f>VLOOKUP(B52, 'Full List'!B:G, 6, FALSE)</f>
        <v>9352.37</v>
      </c>
      <c r="E52" s="12">
        <f>VLOOKUP(B52, 'Full List'!B:F, 5, FALSE)</f>
        <v>99</v>
      </c>
      <c r="F52" s="13">
        <f>VLOOKUP(B52, 'Full List'!B:H, 7, FALSE)</f>
        <v>925884.63</v>
      </c>
      <c r="G52" s="24" t="s">
        <v>950</v>
      </c>
      <c r="I52" s="17"/>
      <c r="J52" s="18"/>
    </row>
    <row r="53" ht="22.5" customHeight="1">
      <c r="A53" s="20">
        <v>46163.319199907404</v>
      </c>
      <c r="B53" s="22" t="s">
        <v>879</v>
      </c>
      <c r="C53" s="11" t="str">
        <f>VLOOKUP(B53, 'Full List'!B:C, 2, FALSE)</f>
        <v>PULLEY-440880069</v>
      </c>
      <c r="D53" s="13">
        <f>VLOOKUP(B53, 'Full List'!B:G, 6, FALSE)</f>
        <v>25310.67</v>
      </c>
      <c r="E53" s="12">
        <f>VLOOKUP(B53, 'Full List'!B:F, 5, FALSE)</f>
        <v>36</v>
      </c>
      <c r="F53" s="13">
        <f>VLOOKUP(B53, 'Full List'!B:H, 7, FALSE)</f>
        <v>911184.12</v>
      </c>
      <c r="G53" s="24" t="s">
        <v>969</v>
      </c>
      <c r="I53" s="17"/>
      <c r="J53" s="18"/>
    </row>
    <row r="54" ht="22.5" customHeight="1">
      <c r="A54" s="20">
        <v>46163.382835578705</v>
      </c>
      <c r="B54" s="22" t="s">
        <v>945</v>
      </c>
      <c r="C54" s="11" t="str">
        <f>VLOOKUP(B54, 'Full List'!B:C, 2, FALSE)</f>
        <v>PULLEY 1B 120 FISSA F.30-(05.05.014)</v>
      </c>
      <c r="D54" s="13">
        <f>VLOOKUP(B54, 'Full List'!B:G, 6, FALSE)</f>
        <v>6442.75</v>
      </c>
      <c r="E54" s="12">
        <f>VLOOKUP(B54, 'Full List'!B:F, 5, FALSE)</f>
        <v>32</v>
      </c>
      <c r="F54" s="13">
        <f>VLOOKUP(B54, 'Full List'!B:H, 7, FALSE)</f>
        <v>206168</v>
      </c>
      <c r="G54" s="24" t="s">
        <v>986</v>
      </c>
      <c r="I54" s="17"/>
      <c r="J54" s="18"/>
    </row>
    <row r="55" ht="22.5" customHeight="1">
      <c r="A55" s="20">
        <v>46163.38349013889</v>
      </c>
      <c r="B55" s="22" t="s">
        <v>870</v>
      </c>
      <c r="C55" s="11" t="str">
        <f>VLOOKUP(B55, 'Full List'!B:C, 2, FALSE)</f>
        <v>PULLEY-00022224</v>
      </c>
      <c r="D55" s="13">
        <f>VLOOKUP(B55, 'Full List'!B:G, 6, FALSE)</f>
        <v>2655.22</v>
      </c>
      <c r="E55" s="12">
        <f>VLOOKUP(B55, 'Full List'!B:F, 5, FALSE)</f>
        <v>76</v>
      </c>
      <c r="F55" s="13">
        <f>VLOOKUP(B55, 'Full List'!B:H, 7, FALSE)</f>
        <v>201796.72</v>
      </c>
      <c r="G55" s="23" t="s">
        <v>1003</v>
      </c>
      <c r="I55" s="17"/>
      <c r="J55" s="18"/>
    </row>
    <row r="56" ht="22.5" customHeight="1">
      <c r="A56" s="20">
        <v>46163.384270173614</v>
      </c>
      <c r="B56" s="22" t="s">
        <v>1008</v>
      </c>
      <c r="C56" s="11" t="str">
        <f>VLOOKUP(B56, 'Full List'!B:C, 2, FALSE)</f>
        <v>SPAZZOLA-ABRASIVE D=510/BRUSH</v>
      </c>
      <c r="D56" s="13">
        <f>VLOOKUP(B56, 'Full List'!B:G, 6, FALSE)</f>
        <v>92172.54</v>
      </c>
      <c r="E56" s="12">
        <f>VLOOKUP(B56, 'Full List'!B:F, 5, FALSE)</f>
        <v>12</v>
      </c>
      <c r="F56" s="13">
        <f>VLOOKUP(B56, 'Full List'!B:H, 7, FALSE)</f>
        <v>1106070.48</v>
      </c>
      <c r="G56" s="24" t="s">
        <v>1017</v>
      </c>
      <c r="I56" s="17"/>
      <c r="J56" s="18"/>
    </row>
    <row r="57" ht="22.5" customHeight="1">
      <c r="A57" s="20">
        <v>46163.38845208334</v>
      </c>
      <c r="B57" s="22" t="s">
        <v>1024</v>
      </c>
      <c r="C57" s="11" t="str">
        <f>VLOOKUP(B57, 'Full List'!B:C, 2, FALSE)</f>
        <v>POLYZENE BLACK PROFILE (ROUGH) 20x16x3000mm FOR BELT 12MM</v>
      </c>
      <c r="D57" s="13">
        <f>VLOOKUP(B57, 'Full List'!B:G, 6, FALSE)</f>
        <v>2867.9</v>
      </c>
      <c r="E57" s="12">
        <f>VLOOKUP(B57, 'Full List'!B:F, 5, FALSE)</f>
        <v>213</v>
      </c>
      <c r="F57" s="13">
        <f>VLOOKUP(B57, 'Full List'!B:H, 7, FALSE)</f>
        <v>610862.7</v>
      </c>
      <c r="G57" s="23" t="s">
        <v>1030</v>
      </c>
      <c r="I57" s="17"/>
      <c r="J57" s="18"/>
    </row>
    <row r="58" ht="22.5" customHeight="1">
      <c r="A58" s="20">
        <v>46163.38971321759</v>
      </c>
      <c r="B58" s="22" t="s">
        <v>1036</v>
      </c>
      <c r="C58" s="11" t="str">
        <f>VLOOKUP(B58, 'Full List'!B:C, 2, FALSE)</f>
        <v>BRUSHLESS CONT 804000000 TAV21/CF2</v>
      </c>
      <c r="D58" s="13">
        <f>VLOOKUP(B58, 'Full List'!B:G, 6, FALSE)</f>
        <v>203186.6</v>
      </c>
      <c r="E58" s="12">
        <f>VLOOKUP(B58, 'Full List'!B:F, 5, FALSE)</f>
        <v>3</v>
      </c>
      <c r="F58" s="13">
        <f>VLOOKUP(B58, 'Full List'!B:H, 7, FALSE)</f>
        <v>609559.8</v>
      </c>
      <c r="G58" s="24" t="s">
        <v>1048</v>
      </c>
      <c r="I58" s="17"/>
      <c r="J58" s="18"/>
    </row>
    <row r="59" ht="22.5" customHeight="1">
      <c r="A59" s="20">
        <v>46163.390649189816</v>
      </c>
      <c r="B59" s="22" t="s">
        <v>1057</v>
      </c>
      <c r="C59" s="11" t="str">
        <f>VLOOKUP(B59, 'Full List'!B:C, 2, FALSE)</f>
        <v>GRID TYPE 2L=1130</v>
      </c>
      <c r="D59" s="13">
        <f>VLOOKUP(B59, 'Full List'!B:G, 6, FALSE)</f>
        <v>181282.44</v>
      </c>
      <c r="E59" s="12">
        <f>VLOOKUP(B59, 'Full List'!B:F, 5, FALSE)</f>
        <v>2</v>
      </c>
      <c r="F59" s="13">
        <f>VLOOKUP(B59, 'Full List'!B:H, 7, FALSE)</f>
        <v>362564.88</v>
      </c>
      <c r="G59" s="23" t="s">
        <v>1070</v>
      </c>
      <c r="I59" s="17"/>
      <c r="J59" s="18"/>
    </row>
    <row r="60" ht="22.5" customHeight="1">
      <c r="A60" s="20">
        <v>46163.39137684028</v>
      </c>
      <c r="B60" s="22" t="s">
        <v>1077</v>
      </c>
      <c r="C60" s="11" t="str">
        <f>VLOOKUP(B60, 'Full List'!B:C, 2, FALSE)</f>
        <v>LEVER-420580065</v>
      </c>
      <c r="D60" s="13">
        <f>VLOOKUP(B60, 'Full List'!B:G, 6, FALSE)</f>
        <v>17814.9</v>
      </c>
      <c r="E60" s="12">
        <f>VLOOKUP(B60, 'Full List'!B:F, 5, FALSE)</f>
        <v>19</v>
      </c>
      <c r="F60" s="13">
        <f>VLOOKUP(B60, 'Full List'!B:H, 7, FALSE)</f>
        <v>338483.1</v>
      </c>
      <c r="G60" s="24" t="s">
        <v>1084</v>
      </c>
      <c r="I60" s="17"/>
      <c r="J60" s="18"/>
    </row>
    <row r="61" ht="22.5" customHeight="1">
      <c r="A61" s="20">
        <v>46163.39187546296</v>
      </c>
      <c r="B61" s="22" t="s">
        <v>1093</v>
      </c>
      <c r="C61" s="11" t="str">
        <f>VLOOKUP(B61, 'Full List'!B:C, 2, FALSE)</f>
        <v>COMPLETE BRUSH 2SP00025</v>
      </c>
      <c r="D61" s="13">
        <f>VLOOKUP(B61, 'Full List'!B:G, 6, FALSE)</f>
        <v>15836.32</v>
      </c>
      <c r="E61" s="12">
        <f>VLOOKUP(B61, 'Full List'!B:F, 5, FALSE)</f>
        <v>20</v>
      </c>
      <c r="F61" s="13">
        <f>VLOOKUP(B61, 'Full List'!B:H, 7, FALSE)</f>
        <v>316726.4</v>
      </c>
      <c r="G61" s="24" t="s">
        <v>1102</v>
      </c>
      <c r="I61" s="17"/>
      <c r="J61" s="18"/>
    </row>
    <row r="62" ht="22.5" customHeight="1">
      <c r="A62" s="20">
        <v>46163.39284642361</v>
      </c>
      <c r="B62" s="22" t="s">
        <v>1111</v>
      </c>
      <c r="C62" s="11" t="str">
        <f>VLOOKUP(B62, 'Full List'!B:C, 2, FALSE)</f>
        <v>SUPPORT-(2365002231)</v>
      </c>
      <c r="D62" s="13">
        <f>VLOOKUP(B62, 'Full List'!B:G, 6, FALSE)</f>
        <v>179788.22</v>
      </c>
      <c r="E62" s="12">
        <f>VLOOKUP(B62, 'Full List'!B:F, 5, FALSE)</f>
        <v>2</v>
      </c>
      <c r="F62" s="13">
        <f>VLOOKUP(B62, 'Full List'!B:H, 7, FALSE)</f>
        <v>359576.44</v>
      </c>
      <c r="G62" s="24" t="s">
        <v>1124</v>
      </c>
      <c r="I62" s="17"/>
      <c r="J62" s="18"/>
    </row>
    <row r="63" ht="22.5" customHeight="1">
      <c r="A63" s="20">
        <v>46163.39371451389</v>
      </c>
      <c r="B63" s="22" t="s">
        <v>1133</v>
      </c>
      <c r="C63" s="11" t="str">
        <f>VLOOKUP(B63, 'Full List'!B:C, 2, FALSE)</f>
        <v>MOULDING-(2PR00018)</v>
      </c>
      <c r="D63" s="13">
        <f>VLOOKUP(B63, 'Full List'!B:G, 6, FALSE)</f>
        <v>32508.58</v>
      </c>
      <c r="E63" s="12">
        <f>VLOOKUP(B63, 'Full List'!B:F, 5, FALSE)</f>
        <v>8</v>
      </c>
      <c r="F63" s="13">
        <f>VLOOKUP(B63, 'Full List'!B:H, 7, FALSE)</f>
        <v>260068.64</v>
      </c>
      <c r="G63" s="23" t="s">
        <v>1139</v>
      </c>
      <c r="I63" s="17"/>
      <c r="J63" s="18"/>
    </row>
    <row r="64" ht="22.5" customHeight="1">
      <c r="A64" s="20">
        <v>46163.39514184028</v>
      </c>
      <c r="B64" s="22" t="s">
        <v>1145</v>
      </c>
      <c r="C64" s="11" t="str">
        <f>VLOOKUP(B64, 'Full List'!B:C, 2, FALSE)</f>
        <v>FLODO PUMP KNF NFB60 PL008979 IP30 24V</v>
      </c>
      <c r="D64" s="13">
        <f>VLOOKUP(B64, 'Full List'!B:G, 6, FALSE)</f>
        <v>253292.21</v>
      </c>
      <c r="E64" s="12">
        <f>VLOOKUP(B64, 'Full List'!B:F, 5, FALSE)</f>
        <v>2</v>
      </c>
      <c r="F64" s="13">
        <f>VLOOKUP(B64, 'Full List'!B:H, 7, FALSE)</f>
        <v>506584.42</v>
      </c>
      <c r="G64" s="24" t="s">
        <v>1153</v>
      </c>
      <c r="I64" s="17"/>
      <c r="J64" s="18"/>
    </row>
    <row r="65" ht="22.5" customHeight="1">
      <c r="A65" s="20">
        <v>46163.396689699075</v>
      </c>
      <c r="B65" s="22" t="s">
        <v>1159</v>
      </c>
      <c r="C65" s="11" t="str">
        <f>VLOOKUP(B65, 'Full List'!B:C, 2, FALSE)</f>
        <v>SPINGUM HOSE (05.40.139)</v>
      </c>
      <c r="D65" s="13">
        <f>VLOOKUP(B65, 'Full List'!B:G, 6, FALSE)</f>
        <v>64954.65</v>
      </c>
      <c r="E65" s="12">
        <f>VLOOKUP(B65, 'Full List'!B:F, 5, FALSE)</f>
        <v>7</v>
      </c>
      <c r="F65" s="13">
        <f>VLOOKUP(B65, 'Full List'!B:H, 7, FALSE)</f>
        <v>454682.55</v>
      </c>
      <c r="G65" s="24" t="s">
        <v>1160</v>
      </c>
      <c r="I65" s="17"/>
      <c r="J65" s="18"/>
    </row>
    <row r="66" ht="22.5" customHeight="1">
      <c r="A66" s="20">
        <v>46163.462622962965</v>
      </c>
      <c r="B66" s="22" t="s">
        <v>1161</v>
      </c>
      <c r="C66" s="12" t="str">
        <f>VLOOKUP(B66, 'Full List'!B:C, 2, FALSE)</f>
        <v>SPACER PLATE SPINGUM (19.40.001)</v>
      </c>
      <c r="D66" s="13">
        <f>VLOOKUP(B66, 'Full List'!B:G, 6, FALSE)</f>
        <v>10470.05</v>
      </c>
      <c r="E66" s="12">
        <f>VLOOKUP(B66, 'Full List'!B:F, 5, FALSE)</f>
        <v>24</v>
      </c>
      <c r="F66" s="13">
        <f>VLOOKUP(B66, 'Full List'!B:H, 7, FALSE)</f>
        <v>251281.2</v>
      </c>
      <c r="G66" s="23" t="s">
        <v>1162</v>
      </c>
      <c r="I66" s="17"/>
      <c r="J66" s="18"/>
    </row>
    <row r="67" ht="22.5" customHeight="1">
      <c r="A67" s="20">
        <v>46163.46547072916</v>
      </c>
      <c r="B67" s="22" t="s">
        <v>1163</v>
      </c>
      <c r="C67" s="12" t="str">
        <f>VLOOKUP(B67, 'Full List'!B:C, 2, FALSE)</f>
        <v>ECCENTRIC (00022138)</v>
      </c>
      <c r="D67" s="13">
        <f>VLOOKUP(B67, 'Full List'!B:G, 6, FALSE)</f>
        <v>21631.66</v>
      </c>
      <c r="E67" s="12">
        <f>VLOOKUP(B67, 'Full List'!B:F, 5, FALSE)</f>
        <v>16</v>
      </c>
      <c r="F67" s="13">
        <f>VLOOKUP(B67, 'Full List'!B:H, 7, FALSE)</f>
        <v>346106.56</v>
      </c>
      <c r="G67" s="23" t="s">
        <v>1164</v>
      </c>
      <c r="I67" s="17"/>
      <c r="J67" s="18"/>
    </row>
    <row r="68" ht="22.5" customHeight="1">
      <c r="A68" s="20">
        <v>46163.48098439815</v>
      </c>
      <c r="B68" s="22" t="s">
        <v>1165</v>
      </c>
      <c r="C68" s="12" t="str">
        <f>VLOOKUP(B68, 'Full List'!B:C, 2, FALSE)</f>
        <v>UPPER HALF BODY 8CRP80012</v>
      </c>
      <c r="D68" s="13">
        <f>VLOOKUP(B68, 'Full List'!B:G, 6, FALSE)</f>
        <v>75194.07</v>
      </c>
      <c r="E68" s="12">
        <f>VLOOKUP(B68, 'Full List'!B:F, 5, FALSE)</f>
        <v>4</v>
      </c>
      <c r="F68" s="13">
        <f>VLOOKUP(B68, 'Full List'!B:H, 7, FALSE)</f>
        <v>300776.28</v>
      </c>
      <c r="G68" s="23" t="s">
        <v>1166</v>
      </c>
      <c r="I68" s="17"/>
      <c r="J68" s="18"/>
    </row>
    <row r="69" ht="22.5" customHeight="1">
      <c r="A69" s="20">
        <v>46163.48207716436</v>
      </c>
      <c r="B69" s="23" t="s">
        <v>1167</v>
      </c>
      <c r="C69" s="12" t="str">
        <f>VLOOKUP(B69, 'Full List'!B:C, 2, FALSE)</f>
        <v>CYLINDER 05.24.142</v>
      </c>
      <c r="D69" s="13">
        <f>VLOOKUP(B69, 'Full List'!B:G, 6, FALSE)</f>
        <v>355409.83</v>
      </c>
      <c r="E69" s="12">
        <f>VLOOKUP(B69, 'Full List'!B:F, 5, FALSE)</f>
        <v>1</v>
      </c>
      <c r="F69" s="13">
        <f>VLOOKUP(B69, 'Full List'!B:H, 7, FALSE)</f>
        <v>355409.83</v>
      </c>
      <c r="G69" s="24" t="s">
        <v>1168</v>
      </c>
      <c r="I69" s="17"/>
      <c r="J69" s="18"/>
    </row>
    <row r="70" ht="22.5" customHeight="1">
      <c r="A70" s="20">
        <v>46163.48309354167</v>
      </c>
      <c r="B70" s="22" t="s">
        <v>1171</v>
      </c>
      <c r="C70" s="12" t="str">
        <f>VLOOKUP(B70, 'Full List'!B:C, 2, FALSE)</f>
        <v>BODY 00022141</v>
      </c>
      <c r="D70" s="13">
        <f>VLOOKUP(B70, 'Full List'!B:G, 6, FALSE)</f>
        <v>15591.3</v>
      </c>
      <c r="E70" s="12">
        <f>VLOOKUP(B70, 'Full List'!B:F, 5, FALSE)</f>
        <v>20</v>
      </c>
      <c r="F70" s="13">
        <f>VLOOKUP(B70, 'Full List'!B:H, 7, FALSE)</f>
        <v>311826</v>
      </c>
      <c r="G70" s="24" t="s">
        <v>1184</v>
      </c>
      <c r="I70" s="17"/>
      <c r="J70" s="18"/>
    </row>
    <row r="71" ht="22.5" customHeight="1">
      <c r="A71" s="20">
        <v>46163.484069502316</v>
      </c>
      <c r="B71" s="22" t="s">
        <v>1190</v>
      </c>
      <c r="C71" s="12" t="str">
        <f>VLOOKUP(B71, 'Full List'!B:C, 2, FALSE)</f>
        <v>ECCENTRIC PIN 420730076</v>
      </c>
      <c r="D71" s="13">
        <f>VLOOKUP(B71, 'Full List'!B:G, 6, FALSE)</f>
        <v>16326.41</v>
      </c>
      <c r="E71" s="12">
        <f>VLOOKUP(B71, 'Full List'!B:F, 5, FALSE)</f>
        <v>16</v>
      </c>
      <c r="F71" s="13">
        <f>VLOOKUP(B71, 'Full List'!B:H, 7, FALSE)</f>
        <v>261222.56</v>
      </c>
      <c r="G71" s="23" t="s">
        <v>1202</v>
      </c>
      <c r="I71" s="17"/>
      <c r="J71" s="18"/>
    </row>
    <row r="72" ht="22.5" customHeight="1">
      <c r="A72" s="20">
        <v>46163.485664050924</v>
      </c>
      <c r="B72" s="22" t="s">
        <v>1209</v>
      </c>
      <c r="C72" s="12" t="str">
        <f>VLOOKUP(B72, 'Full List'!B:C, 2, FALSE)</f>
        <v>TRANSDUCER (APR20001)</v>
      </c>
      <c r="D72" s="13">
        <f>VLOOKUP(B72, 'Full List'!B:G, 6, FALSE)</f>
        <v>124201.23</v>
      </c>
      <c r="E72" s="12">
        <f>VLOOKUP(B72, 'Full List'!B:F, 5, FALSE)</f>
        <v>2</v>
      </c>
      <c r="F72" s="13">
        <f>VLOOKUP(B72, 'Full List'!B:H, 7, FALSE)</f>
        <v>248402.46</v>
      </c>
      <c r="G72" s="23" t="s">
        <v>1222</v>
      </c>
      <c r="I72" s="17"/>
      <c r="J72" s="18"/>
    </row>
    <row r="73" ht="22.5" customHeight="1">
      <c r="A73" s="20">
        <v>46163.48728083333</v>
      </c>
      <c r="B73" s="22" t="s">
        <v>1231</v>
      </c>
      <c r="C73" s="12" t="str">
        <f>VLOOKUP(B73, 'Full List'!B:C, 2, FALSE)</f>
        <v>SUP.FRAME FOR LOW BLADE CYL.460-(PJKF-SSRB/465)</v>
      </c>
      <c r="D73" s="13">
        <f>VLOOKUP(B73, 'Full List'!B:G, 6, FALSE)</f>
        <v>71778.21</v>
      </c>
      <c r="E73" s="12">
        <f>VLOOKUP(B73, 'Full List'!B:F, 5, FALSE)</f>
        <v>3</v>
      </c>
      <c r="F73" s="13">
        <f>VLOOKUP(B73, 'Full List'!B:H, 7, FALSE)</f>
        <v>215334.63</v>
      </c>
      <c r="G73" s="24" t="s">
        <v>1240</v>
      </c>
      <c r="I73" s="17"/>
      <c r="J73" s="18"/>
    </row>
    <row r="74" ht="22.5" customHeight="1">
      <c r="A74" s="20">
        <v>46163.48867074074</v>
      </c>
      <c r="B74" s="22" t="s">
        <v>1249</v>
      </c>
      <c r="C74" s="12" t="str">
        <f>VLOOKUP(B74, 'Full List'!B:C, 2, FALSE)</f>
        <v>PIN 420730125</v>
      </c>
      <c r="D74" s="13">
        <f>VLOOKUP(B74, 'Full List'!B:G, 6, FALSE)</f>
        <v>4673.07</v>
      </c>
      <c r="E74" s="12">
        <f>VLOOKUP(B74, 'Full List'!B:F, 5, FALSE)</f>
        <v>40</v>
      </c>
      <c r="F74" s="13">
        <f>VLOOKUP(B74, 'Full List'!B:H, 7, FALSE)</f>
        <v>186922.8</v>
      </c>
      <c r="G74" s="23" t="s">
        <v>1254</v>
      </c>
      <c r="I74" s="17"/>
      <c r="J74" s="18"/>
    </row>
    <row r="75" ht="22.5" customHeight="1">
      <c r="A75" s="20">
        <v>46163.48949724537</v>
      </c>
      <c r="B75" s="22" t="s">
        <v>272</v>
      </c>
      <c r="C75" s="12" t="str">
        <f>VLOOKUP(B75, 'Full List'!B:C, 2, FALSE)</f>
        <v>CARD-(30101001A)</v>
      </c>
      <c r="D75" s="13">
        <f>VLOOKUP(B75, 'Full List'!B:G, 6, FALSE)</f>
        <v>319051.33</v>
      </c>
      <c r="E75" s="12">
        <f>VLOOKUP(B75, 'Full List'!B:F, 5, FALSE)</f>
        <v>1</v>
      </c>
      <c r="F75" s="13">
        <f>VLOOKUP(B75, 'Full List'!B:H, 7, FALSE)</f>
        <v>319051.33</v>
      </c>
      <c r="G75" s="24" t="s">
        <v>1268</v>
      </c>
      <c r="I75" s="17"/>
      <c r="J75" s="18"/>
    </row>
    <row r="76" ht="22.5" customHeight="1">
      <c r="A76" s="20">
        <v>46163.58055528935</v>
      </c>
      <c r="B76" s="22" t="s">
        <v>281</v>
      </c>
      <c r="C76" s="12" t="str">
        <f>VLOOKUP(B76, 'Full List'!B:C, 2, FALSE)</f>
        <v>CARD-(3010903)</v>
      </c>
      <c r="D76" s="13">
        <f>VLOOKUP(B76, 'Full List'!B:G, 6, FALSE)</f>
        <v>256417.71</v>
      </c>
      <c r="E76" s="12">
        <f>VLOOKUP(B76, 'Full List'!B:F, 5, FALSE)</f>
        <v>1</v>
      </c>
      <c r="F76" s="13">
        <f>VLOOKUP(B76, 'Full List'!B:H, 7, FALSE)</f>
        <v>256417.71</v>
      </c>
      <c r="G76" s="23" t="s">
        <v>1279</v>
      </c>
      <c r="I76" s="17"/>
      <c r="J76" s="18"/>
    </row>
    <row r="77" ht="22.5" customHeight="1">
      <c r="A77" s="20">
        <v>46163.58243043981</v>
      </c>
      <c r="B77" s="22" t="s">
        <v>284</v>
      </c>
      <c r="C77" s="12" t="str">
        <f>VLOOKUP(B77, 'Full List'!B:C, 2, FALSE)</f>
        <v>CARD-(SMC08504926)</v>
      </c>
      <c r="D77" s="13">
        <f>VLOOKUP(B77, 'Full List'!B:G, 6, FALSE)</f>
        <v>465685.94</v>
      </c>
      <c r="E77" s="12">
        <f>VLOOKUP(B77, 'Full List'!B:F, 5, FALSE)</f>
        <v>2</v>
      </c>
      <c r="F77" s="13">
        <f>VLOOKUP(B77, 'Full List'!B:H, 7, FALSE)</f>
        <v>931371.88</v>
      </c>
      <c r="G77" s="24" t="s">
        <v>1290</v>
      </c>
      <c r="I77" s="17"/>
      <c r="J77" s="18"/>
    </row>
    <row r="78" ht="22.5" customHeight="1">
      <c r="A78" s="20">
        <v>46163.58670622685</v>
      </c>
      <c r="B78" s="22" t="s">
        <v>287</v>
      </c>
      <c r="C78" s="12" t="str">
        <f>VLOOKUP(B78, 'Full List'!B:C, 2, FALSE)</f>
        <v>CARD-(SMC08501964)</v>
      </c>
      <c r="D78" s="13">
        <f>VLOOKUP(B78, 'Full List'!B:G, 6, FALSE)</f>
        <v>89762.29</v>
      </c>
      <c r="E78" s="12">
        <f>VLOOKUP(B78, 'Full List'!B:F, 5, FALSE)</f>
        <v>3</v>
      </c>
      <c r="F78" s="13">
        <f>VLOOKUP(B78, 'Full List'!B:H, 7, FALSE)</f>
        <v>269286.87</v>
      </c>
      <c r="G78" s="23" t="s">
        <v>1304</v>
      </c>
      <c r="I78" s="17"/>
      <c r="J78" s="18"/>
    </row>
    <row r="79" ht="22.5" customHeight="1">
      <c r="A79" s="20">
        <v>46163.589330648145</v>
      </c>
      <c r="B79" s="22" t="s">
        <v>296</v>
      </c>
      <c r="C79" s="12" t="str">
        <f>VLOOKUP(B79, 'Full List'!B:C, 2, FALSE)</f>
        <v>CARD-(SMC08502950)</v>
      </c>
      <c r="D79" s="13">
        <f>VLOOKUP(B79, 'Full List'!B:G, 6, FALSE)</f>
        <v>207486.5</v>
      </c>
      <c r="E79" s="12">
        <f>VLOOKUP(B79, 'Full List'!B:F, 5, FALSE)</f>
        <v>2</v>
      </c>
      <c r="F79" s="13">
        <f>VLOOKUP(B79, 'Full List'!B:H, 7, FALSE)</f>
        <v>414973</v>
      </c>
      <c r="G79" s="23" t="s">
        <v>1318</v>
      </c>
      <c r="I79" s="17"/>
      <c r="J79" s="18"/>
    </row>
    <row r="80" ht="22.5" customHeight="1">
      <c r="A80" s="20">
        <v>46163.59210243056</v>
      </c>
      <c r="B80" s="22" t="s">
        <v>298</v>
      </c>
      <c r="C80" s="12" t="str">
        <f>VLOOKUP(B80, 'Full List'!B:C, 2, FALSE)</f>
        <v>CARD-(SMC08601931)</v>
      </c>
      <c r="D80" s="13">
        <f>VLOOKUP(B80, 'Full List'!B:G, 6, FALSE)</f>
        <v>645363.55</v>
      </c>
      <c r="E80" s="12">
        <f>VLOOKUP(B80, 'Full List'!B:F, 5, FALSE)</f>
        <v>2</v>
      </c>
      <c r="F80" s="13">
        <f>VLOOKUP(B80, 'Full List'!B:H, 7, FALSE)</f>
        <v>1290727.1</v>
      </c>
      <c r="G80" s="23" t="s">
        <v>1334</v>
      </c>
      <c r="I80" s="17"/>
      <c r="J80" s="18"/>
    </row>
    <row r="81" ht="22.5" customHeight="1">
      <c r="A81" s="20">
        <v>46163.60331553241</v>
      </c>
      <c r="B81" s="22" t="s">
        <v>389</v>
      </c>
      <c r="C81" s="12" t="str">
        <f>VLOOKUP(B81, 'Full List'!B:C, 2, FALSE)</f>
        <v>HMD 01-1NW0036-A-07-NNN (1050370095)</v>
      </c>
      <c r="D81" s="13">
        <f>VLOOKUP(B81, 'Full List'!B:G, 6, FALSE)</f>
        <v>870762.4</v>
      </c>
      <c r="E81" s="12">
        <f>VLOOKUP(B81, 'Full List'!B:F, 5, FALSE)</f>
        <v>1</v>
      </c>
      <c r="F81" s="13">
        <f>VLOOKUP(B81, 'Full List'!B:H, 7, FALSE)</f>
        <v>870762.4</v>
      </c>
      <c r="G81" s="23" t="s">
        <v>1345</v>
      </c>
      <c r="I81" s="17"/>
      <c r="J81" s="18"/>
    </row>
    <row r="82" ht="22.5" customHeight="1">
      <c r="A82" s="20">
        <v>46163.606860381944</v>
      </c>
      <c r="B82" s="22" t="s">
        <v>352</v>
      </c>
      <c r="C82" s="12" t="str">
        <f>VLOOKUP(B82, 'Full List'!B:C, 2, FALSE)</f>
        <v>PC UNIT-(SMC08536970)</v>
      </c>
      <c r="D82" s="13">
        <f>VLOOKUP(B82, 'Full List'!B:G, 6, FALSE)</f>
        <v>757200.49</v>
      </c>
      <c r="E82" s="12">
        <f>VLOOKUP(B82, 'Full List'!B:F, 5, FALSE)</f>
        <v>1</v>
      </c>
      <c r="F82" s="13">
        <f>VLOOKUP(B82, 'Full List'!B:H, 7, FALSE)</f>
        <v>757200.49</v>
      </c>
      <c r="G82" s="23" t="s">
        <v>1362</v>
      </c>
      <c r="I82" s="17"/>
      <c r="J82" s="18"/>
    </row>
    <row r="83" ht="22.5" customHeight="1">
      <c r="A83" s="20">
        <v>46163.60903177083</v>
      </c>
      <c r="B83" s="23" t="s">
        <v>458</v>
      </c>
      <c r="C83" s="12" t="str">
        <f>VLOOKUP(B83, 'Full List'!B:C, 2, FALSE)</f>
        <v>DRIVE 18A-(6800001464)</v>
      </c>
      <c r="D83" s="13">
        <f>VLOOKUP(B83, 'Full List'!B:G, 6, FALSE)</f>
        <v>463503.74</v>
      </c>
      <c r="E83" s="12">
        <f>VLOOKUP(B83, 'Full List'!B:F, 5, FALSE)</f>
        <v>1</v>
      </c>
      <c r="F83" s="13">
        <f>VLOOKUP(B83, 'Full List'!B:H, 7, FALSE)</f>
        <v>463503.74</v>
      </c>
      <c r="G83" s="23" t="s">
        <v>1387</v>
      </c>
      <c r="I83" s="17"/>
      <c r="J83" s="18"/>
    </row>
    <row r="84" ht="22.5" customHeight="1">
      <c r="A84" s="20">
        <v>46163.68762556713</v>
      </c>
      <c r="B84" s="22" t="s">
        <v>430</v>
      </c>
      <c r="C84" s="12" t="str">
        <f>VLOOKUP(B84, 'Full List'!B:C, 2, FALSE)</f>
        <v>CONTROL BOARD FOR PERMANENT MAGNETISM (AS110N490032)</v>
      </c>
      <c r="D84" s="13">
        <f>VLOOKUP(B84, 'Full List'!B:G, 6, FALSE)</f>
        <v>815297.45</v>
      </c>
      <c r="E84" s="12">
        <f>VLOOKUP(B84, 'Full List'!B:F, 5, FALSE)</f>
        <v>1</v>
      </c>
      <c r="F84" s="13">
        <f>VLOOKUP(B84, 'Full List'!B:H, 7, FALSE)</f>
        <v>815297.45</v>
      </c>
      <c r="G84" s="24" t="s">
        <v>1404</v>
      </c>
      <c r="I84" s="17"/>
      <c r="J84" s="18"/>
    </row>
    <row r="85" ht="22.5" customHeight="1">
      <c r="A85" s="20">
        <v>46163.68942894676</v>
      </c>
      <c r="B85" s="22" t="s">
        <v>1408</v>
      </c>
      <c r="C85" s="12" t="str">
        <f>VLOOKUP(B85, 'Full List'!B:C, 2, FALSE)</f>
        <v>RED LINE ACQUISITION UNIT (3320510025)</v>
      </c>
      <c r="D85" s="13">
        <f>VLOOKUP(B85, 'Full List'!B:G, 6, FALSE)</f>
        <v>1145955.03</v>
      </c>
      <c r="E85" s="12">
        <f>VLOOKUP(B85, 'Full List'!B:F, 5, FALSE)</f>
        <v>4</v>
      </c>
      <c r="F85" s="13">
        <f>VLOOKUP(B85, 'Full List'!B:H, 7, FALSE)</f>
        <v>4583820.12</v>
      </c>
      <c r="G85" s="24" t="s">
        <v>1419</v>
      </c>
      <c r="I85" s="17"/>
      <c r="J85" s="18"/>
    </row>
    <row r="86" ht="22.5" customHeight="1">
      <c r="A86" s="20">
        <v>46163.691970914355</v>
      </c>
      <c r="B86" s="22" t="s">
        <v>277</v>
      </c>
      <c r="C86" s="12" t="str">
        <f>VLOOKUP(B86, 'Full List'!B:C, 2, FALSE)</f>
        <v>PUSH BUTTON PAN-(EVA17085917)</v>
      </c>
      <c r="D86" s="13">
        <f>VLOOKUP(B86, 'Full List'!B:G, 6, FALSE)</f>
        <v>611998.43</v>
      </c>
      <c r="E86" s="12">
        <f>VLOOKUP(B86, 'Full List'!B:F, 5, FALSE)</f>
        <v>1</v>
      </c>
      <c r="F86" s="13">
        <f>VLOOKUP(B86, 'Full List'!B:H, 7, FALSE)</f>
        <v>611998.43</v>
      </c>
      <c r="G86" s="24" t="s">
        <v>1426</v>
      </c>
      <c r="I86" s="17"/>
      <c r="J86" s="18"/>
    </row>
    <row r="87" ht="22.5" customHeight="1">
      <c r="A87" s="20">
        <v>46163.79306484954</v>
      </c>
      <c r="B87" s="22" t="s">
        <v>1434</v>
      </c>
      <c r="C87" s="12" t="str">
        <f>VLOOKUP(B87, 'Full List'!B:C, 2, FALSE)</f>
        <v>ROLLER (V) L=470MM D=60MM C03700100)</v>
      </c>
      <c r="D87" s="13">
        <f>VLOOKUP(B87, 'Full List'!B:G, 6, FALSE)</f>
        <v>21529.36</v>
      </c>
      <c r="E87" s="12">
        <f>VLOOKUP(B87, 'Full List'!B:F, 5, FALSE)</f>
        <v>219</v>
      </c>
      <c r="F87" s="13">
        <f>VLOOKUP(B87, 'Full List'!B:H, 7, FALSE)</f>
        <v>4714929.84</v>
      </c>
      <c r="G87" s="24" t="s">
        <v>1440</v>
      </c>
      <c r="I87" s="17"/>
      <c r="J87" s="18"/>
    </row>
    <row r="88" ht="22.5" customHeight="1">
      <c r="A88" s="20">
        <v>46163.795065046295</v>
      </c>
      <c r="B88" s="22" t="s">
        <v>1445</v>
      </c>
      <c r="C88" s="12" t="str">
        <f>VLOOKUP(B88, 'Full List'!B:C, 2, FALSE)</f>
        <v>ROLLER L=442MM D=60MM (C03100107)</v>
      </c>
      <c r="D88" s="13">
        <f>VLOOKUP(B88, 'Full List'!B:G, 6, FALSE)</f>
        <v>18454.98</v>
      </c>
      <c r="E88" s="12">
        <f>VLOOKUP(B88, 'Full List'!B:F, 5, FALSE)</f>
        <v>221</v>
      </c>
      <c r="F88" s="13">
        <f>VLOOKUP(B88, 'Full List'!B:H, 7, FALSE)</f>
        <v>4078550.58</v>
      </c>
      <c r="G88" s="25" t="s">
        <v>1457</v>
      </c>
      <c r="I88" s="17"/>
      <c r="J88" s="18"/>
    </row>
    <row r="89" ht="22.5" customHeight="1">
      <c r="A89" s="20">
        <v>46163.824899976855</v>
      </c>
      <c r="B89" s="22" t="s">
        <v>1464</v>
      </c>
      <c r="C89" s="12" t="str">
        <f>VLOOKUP(B89, 'Full List'!B:C, 2, FALSE)</f>
        <v>TAP 3"-5176104-2B/5</v>
      </c>
      <c r="D89" s="13">
        <f>VLOOKUP(B89, 'Full List'!B:G, 6, FALSE)</f>
        <v>145089.82</v>
      </c>
      <c r="E89" s="12">
        <f>VLOOKUP(B89, 'Full List'!B:F, 5, FALSE)</f>
        <v>4</v>
      </c>
      <c r="F89" s="13">
        <f>VLOOKUP(B89, 'Full List'!B:H, 7, FALSE)</f>
        <v>580359.28</v>
      </c>
      <c r="G89" s="24" t="s">
        <v>1477</v>
      </c>
      <c r="I89" s="17"/>
      <c r="J89" s="18"/>
    </row>
    <row r="90" ht="22.5" customHeight="1">
      <c r="A90" s="20">
        <v>46164.34533123842</v>
      </c>
      <c r="B90" s="22" t="s">
        <v>1375</v>
      </c>
      <c r="C90" s="12" t="str">
        <f>VLOOKUP(B90, 'Full List'!B:C, 2, FALSE)</f>
        <v>DIAPHRAGM-286098365</v>
      </c>
      <c r="D90" s="13">
        <f>VLOOKUP(B90, 'Full List'!B:G, 6, FALSE)</f>
        <v>24087.9</v>
      </c>
      <c r="E90" s="12">
        <f>VLOOKUP(B90, 'Full List'!B:F, 5, FALSE)</f>
        <v>19</v>
      </c>
      <c r="F90" s="13">
        <f>VLOOKUP(B90, 'Full List'!B:H, 7, FALSE)</f>
        <v>457670.1</v>
      </c>
      <c r="G90" s="23" t="s">
        <v>1493</v>
      </c>
      <c r="I90" s="17"/>
      <c r="J90" s="18"/>
    </row>
    <row r="91" ht="22.5" customHeight="1">
      <c r="A91" s="20">
        <v>46164.349445266205</v>
      </c>
      <c r="B91" s="22" t="s">
        <v>1499</v>
      </c>
      <c r="C91" s="12" t="str">
        <f>VLOOKUP(B91, 'Full List'!B:C, 2, FALSE)</f>
        <v>FITTING (MTD34001098)</v>
      </c>
      <c r="D91" s="13">
        <f>VLOOKUP(B91, 'Full List'!B:G, 6, FALSE)</f>
        <v>54376.76</v>
      </c>
      <c r="E91" s="12">
        <f>VLOOKUP(B91, 'Full List'!B:F, 5, FALSE)</f>
        <v>13</v>
      </c>
      <c r="F91" s="13">
        <f>VLOOKUP(B91, 'Full List'!B:H, 7, FALSE)</f>
        <v>706897.88</v>
      </c>
      <c r="G91" s="23" t="s">
        <v>1509</v>
      </c>
      <c r="I91" s="17"/>
      <c r="J91" s="18"/>
    </row>
    <row r="92" ht="22.5" customHeight="1">
      <c r="A92" s="20">
        <v>46164.355316064815</v>
      </c>
      <c r="B92" s="22" t="s">
        <v>1516</v>
      </c>
      <c r="C92" s="12" t="str">
        <f>VLOOKUP(B92, 'Full List'!B:C, 2, FALSE)</f>
        <v>SPACER (MTD34003144)</v>
      </c>
      <c r="D92" s="13">
        <f>VLOOKUP(B92, 'Full List'!B:G, 6, FALSE)</f>
        <v>181603.29</v>
      </c>
      <c r="E92" s="12">
        <f>VLOOKUP(B92, 'Full List'!B:F, 5, FALSE)</f>
        <v>1</v>
      </c>
      <c r="F92" s="13">
        <f>VLOOKUP(B92, 'Full List'!B:H, 7, FALSE)</f>
        <v>181603.29</v>
      </c>
      <c r="G92" s="24" t="s">
        <v>1530</v>
      </c>
      <c r="I92" s="17"/>
      <c r="J92" s="18"/>
    </row>
    <row r="93" ht="22.5" customHeight="1">
      <c r="A93" s="20">
        <v>46164.37639077546</v>
      </c>
      <c r="B93" s="22" t="s">
        <v>1536</v>
      </c>
      <c r="C93" s="12" t="str">
        <f>VLOOKUP(B93, 'Full List'!B:C, 2, FALSE)</f>
        <v>BOTTOM (MTD34003073)</v>
      </c>
      <c r="D93" s="13">
        <f>VLOOKUP(B93, 'Full List'!B:G, 6, FALSE)</f>
        <v>416296.25</v>
      </c>
      <c r="E93" s="12">
        <f>VLOOKUP(B93, 'Full List'!B:F, 5, FALSE)</f>
        <v>1</v>
      </c>
      <c r="F93" s="13">
        <f>VLOOKUP(B93, 'Full List'!B:H, 7, FALSE)</f>
        <v>416296.25</v>
      </c>
      <c r="G93" s="23" t="s">
        <v>1547</v>
      </c>
      <c r="I93" s="17"/>
      <c r="J93" s="18"/>
    </row>
    <row r="94" ht="22.5" customHeight="1">
      <c r="A94" s="20">
        <v>46164.62563744213</v>
      </c>
      <c r="B94" s="22" t="s">
        <v>1555</v>
      </c>
      <c r="C94" s="12" t="str">
        <f>VLOOKUP(B94, 'Full List'!B:C, 2, FALSE)</f>
        <v>SHAFT MTD 34003047 TAB 5A1 FIG 29</v>
      </c>
      <c r="D94" s="13">
        <f>VLOOKUP(B94, 'Full List'!B:G, 6, FALSE)</f>
        <v>346210.59</v>
      </c>
      <c r="E94" s="12">
        <f>VLOOKUP(B94, 'Full List'!B:F, 5, FALSE)</f>
        <v>2</v>
      </c>
      <c r="F94" s="13">
        <f>VLOOKUP(B94, 'Full List'!B:H, 7, FALSE)</f>
        <v>692421.18</v>
      </c>
      <c r="G94" s="23" t="s">
        <v>1563</v>
      </c>
      <c r="I94" s="28"/>
      <c r="J94" s="28"/>
    </row>
    <row r="95" ht="22.5" customHeight="1">
      <c r="A95" s="20">
        <v>46164.626003564816</v>
      </c>
      <c r="B95" s="22" t="s">
        <v>1567</v>
      </c>
      <c r="C95" s="12" t="str">
        <f>VLOOKUP(B95, 'Full List'!B:C, 2, FALSE)</f>
        <v>BOTTOM (MTD34003072)</v>
      </c>
      <c r="D95" s="13">
        <f>VLOOKUP(B95, 'Full List'!B:G, 6, FALSE)</f>
        <v>377002.47</v>
      </c>
      <c r="E95" s="12">
        <f>VLOOKUP(B95, 'Full List'!B:F, 5, FALSE)</f>
        <v>1</v>
      </c>
      <c r="F95" s="13">
        <f>VLOOKUP(B95, 'Full List'!B:H, 7, FALSE)</f>
        <v>377002.47</v>
      </c>
      <c r="G95" s="24" t="s">
        <v>1575</v>
      </c>
      <c r="I95" s="28"/>
      <c r="J95" s="28"/>
    </row>
    <row r="96" ht="22.5" customHeight="1">
      <c r="A96" s="20">
        <v>46164.62780017361</v>
      </c>
      <c r="B96" s="22" t="s">
        <v>977</v>
      </c>
      <c r="C96" s="12" t="str">
        <f>VLOOKUP(B96, 'Full List'!B:C, 2, FALSE)</f>
        <v>PULLEY (MTD34004060)</v>
      </c>
      <c r="D96" s="13">
        <f>VLOOKUP(B96, 'Full List'!B:G, 6, FALSE)</f>
        <v>1514783.41</v>
      </c>
      <c r="E96" s="12">
        <f>VLOOKUP(B96, 'Full List'!B:F, 5, FALSE)</f>
        <v>2</v>
      </c>
      <c r="F96" s="13">
        <f>VLOOKUP(B96, 'Full List'!B:H, 7, FALSE)</f>
        <v>3029566.82</v>
      </c>
      <c r="G96" s="24" t="s">
        <v>1594</v>
      </c>
      <c r="I96" s="28"/>
      <c r="J96" s="28"/>
    </row>
    <row r="97" ht="22.5" customHeight="1">
      <c r="A97" s="20">
        <v>46164.62933675926</v>
      </c>
      <c r="B97" s="22" t="s">
        <v>898</v>
      </c>
      <c r="C97" s="12" t="str">
        <f>VLOOKUP(B97, 'Full List'!B:C, 2, FALSE)</f>
        <v>PULLEY-MTD 34003053</v>
      </c>
      <c r="D97" s="13">
        <f>VLOOKUP(B97, 'Full List'!B:G, 6, FALSE)</f>
        <v>981458.18</v>
      </c>
      <c r="E97" s="12">
        <f>VLOOKUP(B97, 'Full List'!B:F, 5, FALSE)</f>
        <v>1</v>
      </c>
      <c r="F97" s="13">
        <f>VLOOKUP(B97, 'Full List'!B:H, 7, FALSE)</f>
        <v>981458.18</v>
      </c>
      <c r="G97" s="24" t="s">
        <v>1609</v>
      </c>
      <c r="I97" s="28"/>
      <c r="J97" s="28"/>
    </row>
    <row r="98" ht="22.5" customHeight="1">
      <c r="A98" s="20">
        <v>46164.631252245366</v>
      </c>
      <c r="B98" s="22" t="s">
        <v>900</v>
      </c>
      <c r="C98" s="12" t="str">
        <f>VLOOKUP(B98, 'Full List'!B:C, 2, FALSE)</f>
        <v>PULLEY - (MTD34003048)</v>
      </c>
      <c r="D98" s="13">
        <f>VLOOKUP(B98, 'Full List'!B:G, 6, FALSE)</f>
        <v>831506.23</v>
      </c>
      <c r="E98" s="12">
        <f>VLOOKUP(B98, 'Full List'!B:F, 5, FALSE)</f>
        <v>1</v>
      </c>
      <c r="F98" s="13">
        <f>VLOOKUP(B98, 'Full List'!B:H, 7, FALSE)</f>
        <v>831506.23</v>
      </c>
      <c r="G98" s="24" t="s">
        <v>1625</v>
      </c>
      <c r="I98" s="28"/>
      <c r="J98" s="28"/>
    </row>
    <row r="99" ht="22.5" customHeight="1">
      <c r="A99" s="20">
        <v>46164.640146192134</v>
      </c>
      <c r="B99" s="22" t="s">
        <v>975</v>
      </c>
      <c r="C99" s="12" t="str">
        <f>VLOOKUP(B99, 'Full List'!B:C, 2, FALSE)</f>
        <v>PULLEY (MTD34003133)</v>
      </c>
      <c r="D99" s="13">
        <f>VLOOKUP(B99, 'Full List'!B:G, 6, FALSE)</f>
        <v>1267266.38</v>
      </c>
      <c r="E99" s="12">
        <f>VLOOKUP(B99, 'Full List'!B:F, 5, FALSE)</f>
        <v>1</v>
      </c>
      <c r="F99" s="13">
        <f>VLOOKUP(B99, 'Full List'!B:H, 7, FALSE)</f>
        <v>1267266.38</v>
      </c>
      <c r="G99" s="23" t="s">
        <v>1638</v>
      </c>
      <c r="I99" s="28"/>
      <c r="J99" s="28"/>
    </row>
    <row r="100" ht="22.5" customHeight="1">
      <c r="A100" s="20">
        <v>46164.648820358794</v>
      </c>
      <c r="B100" s="22" t="s">
        <v>1647</v>
      </c>
      <c r="C100" s="12" t="str">
        <f>VLOOKUP(B100, 'Full List'!B:C, 2, FALSE)</f>
        <v>SUPPORT (MTD34004066)</v>
      </c>
      <c r="D100" s="13">
        <f>VLOOKUP(B100, 'Full List'!B:G, 6, FALSE)</f>
        <v>402886.68</v>
      </c>
      <c r="E100" s="12">
        <f>VLOOKUP(B100, 'Full List'!B:F, 5, FALSE)</f>
        <v>1</v>
      </c>
      <c r="F100" s="13">
        <f>VLOOKUP(B100, 'Full List'!B:H, 7, FALSE)</f>
        <v>402886.68</v>
      </c>
      <c r="G100" s="23" t="s">
        <v>1658</v>
      </c>
      <c r="I100" s="28"/>
      <c r="J100" s="28"/>
    </row>
    <row r="101" ht="22.5" customHeight="1">
      <c r="A101" s="20">
        <v>46164.65027644676</v>
      </c>
      <c r="B101" s="22" t="s">
        <v>1664</v>
      </c>
      <c r="C101" s="12" t="str">
        <f>VLOOKUP(B101, 'Full List'!B:C, 2, FALSE)</f>
        <v>HOSE (FILTER BAG) 088422.00</v>
      </c>
      <c r="D101" s="13">
        <f>VLOOKUP(B101, 'Full List'!B:G, 6, FALSE)</f>
        <v>6624.73</v>
      </c>
      <c r="E101" s="12">
        <f>VLOOKUP(B101, 'Full List'!B:F, 5, FALSE)</f>
        <v>549</v>
      </c>
      <c r="F101" s="13">
        <f>VLOOKUP(B101, 'Full List'!B:H, 7, FALSE)</f>
        <v>3636976.77</v>
      </c>
      <c r="G101" s="24" t="s">
        <v>1673</v>
      </c>
      <c r="I101" s="28"/>
      <c r="J101" s="28"/>
    </row>
    <row r="102" ht="22.5" customHeight="1">
      <c r="A102" s="20">
        <v>46167.42935688657</v>
      </c>
      <c r="C102" s="12" t="str">
        <f>VLOOKUP(B102, 'Full List'!B:C, 2, FALSE)</f>
        <v>#N/A</v>
      </c>
      <c r="F102" s="12" t="str">
        <f>VLOOKUP(B102, 'Full List'!B:H, 7, FALSE)</f>
        <v>#N/A</v>
      </c>
      <c r="G102" s="24" t="s">
        <v>1681</v>
      </c>
      <c r="I102" s="28"/>
      <c r="J102" s="28"/>
    </row>
  </sheetData>
  <dataValidations>
    <dataValidation type="list" allowBlank="1" sqref="J2:J102">
      <formula1>"Non Using(Machine not in use),Using"</formula1>
    </dataValidation>
    <dataValidation type="list" allowBlank="1" sqref="I2:I102">
      <formula1>"Critical,Essential,Desirable"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B37"/>
    <hyperlink r:id="rId36" ref="G37"/>
    <hyperlink r:id="rId37" ref="B38"/>
    <hyperlink r:id="rId38" ref="G38"/>
    <hyperlink r:id="rId39" ref="G39"/>
    <hyperlink r:id="rId40" ref="G40"/>
    <hyperlink r:id="rId41" ref="G41"/>
    <hyperlink r:id="rId42" ref="G42"/>
    <hyperlink r:id="rId43" ref="G43"/>
    <hyperlink r:id="rId44" ref="G44"/>
    <hyperlink r:id="rId45" ref="G45"/>
    <hyperlink r:id="rId46" ref="G46"/>
    <hyperlink r:id="rId47" ref="G47"/>
    <hyperlink r:id="rId48" ref="G48"/>
    <hyperlink r:id="rId49" ref="G49"/>
    <hyperlink r:id="rId50" ref="G50"/>
    <hyperlink r:id="rId51" ref="G51"/>
    <hyperlink r:id="rId52" ref="G52"/>
    <hyperlink r:id="rId53" ref="G53"/>
    <hyperlink r:id="rId54" ref="G54"/>
    <hyperlink r:id="rId55" ref="G55"/>
    <hyperlink r:id="rId56" ref="G56"/>
    <hyperlink r:id="rId57" ref="G57"/>
    <hyperlink r:id="rId58" ref="G58"/>
    <hyperlink r:id="rId59" ref="G59"/>
    <hyperlink r:id="rId60" ref="G60"/>
    <hyperlink r:id="rId61" ref="G61"/>
    <hyperlink r:id="rId62" ref="G62"/>
    <hyperlink r:id="rId63" ref="G63"/>
    <hyperlink r:id="rId64" ref="G64"/>
    <hyperlink r:id="rId65" ref="G65"/>
    <hyperlink r:id="rId66" ref="G66"/>
    <hyperlink r:id="rId67" ref="G67"/>
    <hyperlink r:id="rId68" ref="G68"/>
    <hyperlink r:id="rId69" ref="B69"/>
    <hyperlink r:id="rId70" ref="G69"/>
    <hyperlink r:id="rId71" ref="G70"/>
    <hyperlink r:id="rId72" ref="G71"/>
    <hyperlink r:id="rId73" ref="G72"/>
    <hyperlink r:id="rId74" ref="G73"/>
    <hyperlink r:id="rId75" ref="G74"/>
    <hyperlink r:id="rId76" ref="G75"/>
    <hyperlink r:id="rId77" ref="G76"/>
    <hyperlink r:id="rId78" ref="G77"/>
    <hyperlink r:id="rId79" ref="G78"/>
    <hyperlink r:id="rId80" ref="G79"/>
    <hyperlink r:id="rId81" ref="G80"/>
    <hyperlink r:id="rId82" ref="G81"/>
    <hyperlink r:id="rId83" ref="G82"/>
    <hyperlink r:id="rId84" ref="B83"/>
    <hyperlink r:id="rId85" ref="G83"/>
    <hyperlink r:id="rId86" ref="G84"/>
    <hyperlink r:id="rId87" ref="G85"/>
    <hyperlink r:id="rId88" ref="G86"/>
    <hyperlink r:id="rId89" ref="G87"/>
    <hyperlink r:id="rId90" ref="G88"/>
    <hyperlink r:id="rId91" ref="G89"/>
    <hyperlink r:id="rId92" ref="G90"/>
    <hyperlink r:id="rId93" ref="G91"/>
    <hyperlink r:id="rId94" ref="G92"/>
    <hyperlink r:id="rId95" ref="G93"/>
    <hyperlink r:id="rId96" ref="G94"/>
    <hyperlink r:id="rId97" ref="G95"/>
    <hyperlink r:id="rId98" ref="G96"/>
    <hyperlink r:id="rId99" ref="G97"/>
    <hyperlink r:id="rId100" ref="G98"/>
    <hyperlink r:id="rId101" ref="G99"/>
    <hyperlink r:id="rId102" ref="G100"/>
    <hyperlink r:id="rId103" ref="G101"/>
    <hyperlink r:id="rId104" ref="G102"/>
  </hyperlinks>
  <drawing r:id="rId105"/>
  <tableParts count="1">
    <tablePart r:id="rId10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00.63"/>
    <col customWidth="1" min="7" max="7" width="11.75"/>
    <col customWidth="1" min="8" max="8" width="10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3" t="s">
        <v>6</v>
      </c>
    </row>
    <row r="2">
      <c r="B2" s="4" t="s">
        <v>7</v>
      </c>
      <c r="C2" s="4" t="s">
        <v>8</v>
      </c>
      <c r="D2" s="4" t="s">
        <v>9</v>
      </c>
      <c r="E2" s="4" t="s">
        <v>10</v>
      </c>
      <c r="F2" s="5">
        <v>20.0</v>
      </c>
      <c r="G2" s="6">
        <v>20037.48</v>
      </c>
      <c r="H2" s="6">
        <v>400749.6</v>
      </c>
    </row>
    <row r="3">
      <c r="B3" s="4" t="s">
        <v>11</v>
      </c>
      <c r="C3" s="4" t="s">
        <v>12</v>
      </c>
      <c r="D3" s="4" t="s">
        <v>9</v>
      </c>
      <c r="E3" s="4" t="s">
        <v>10</v>
      </c>
      <c r="F3" s="5">
        <v>6.0</v>
      </c>
      <c r="G3" s="6">
        <v>35900.0</v>
      </c>
      <c r="H3" s="6">
        <v>215400.0</v>
      </c>
    </row>
    <row r="4">
      <c r="B4" s="4" t="s">
        <v>14</v>
      </c>
      <c r="C4" s="4" t="s">
        <v>15</v>
      </c>
      <c r="D4" s="4" t="s">
        <v>9</v>
      </c>
      <c r="E4" s="4" t="s">
        <v>10</v>
      </c>
      <c r="F4" s="5">
        <v>15.0</v>
      </c>
      <c r="G4" s="6">
        <v>30677.8</v>
      </c>
      <c r="H4" s="6">
        <v>460167.0</v>
      </c>
    </row>
    <row r="5">
      <c r="B5" s="4" t="s">
        <v>16</v>
      </c>
      <c r="C5" s="4" t="s">
        <v>17</v>
      </c>
      <c r="D5" s="4" t="s">
        <v>9</v>
      </c>
      <c r="E5" s="4" t="s">
        <v>10</v>
      </c>
      <c r="F5" s="5">
        <v>49.0</v>
      </c>
      <c r="G5" s="6">
        <v>8543.35</v>
      </c>
      <c r="H5" s="6">
        <v>418624.15</v>
      </c>
    </row>
    <row r="6">
      <c r="B6" s="4" t="s">
        <v>20</v>
      </c>
      <c r="C6" s="4" t="s">
        <v>21</v>
      </c>
      <c r="D6" s="4" t="s">
        <v>9</v>
      </c>
      <c r="E6" s="4" t="s">
        <v>23</v>
      </c>
      <c r="F6" s="5">
        <v>4.0</v>
      </c>
      <c r="G6" s="6">
        <v>128620.04</v>
      </c>
      <c r="H6" s="6">
        <v>514480.16</v>
      </c>
    </row>
    <row r="7">
      <c r="B7" s="4" t="s">
        <v>27</v>
      </c>
      <c r="C7" s="4" t="s">
        <v>28</v>
      </c>
      <c r="D7" s="4" t="s">
        <v>9</v>
      </c>
      <c r="E7" s="4" t="s">
        <v>10</v>
      </c>
      <c r="F7" s="5">
        <v>15.0</v>
      </c>
      <c r="G7" s="6">
        <v>20453.86</v>
      </c>
      <c r="H7" s="6">
        <v>306807.9</v>
      </c>
    </row>
    <row r="8">
      <c r="B8" s="4" t="s">
        <v>31</v>
      </c>
      <c r="C8" s="4" t="s">
        <v>32</v>
      </c>
      <c r="D8" s="4" t="s">
        <v>9</v>
      </c>
      <c r="E8" s="4" t="s">
        <v>10</v>
      </c>
      <c r="F8" s="5">
        <v>12.0</v>
      </c>
      <c r="G8" s="6">
        <v>15118.33</v>
      </c>
      <c r="H8" s="6">
        <v>181419.96</v>
      </c>
    </row>
    <row r="9">
      <c r="B9" s="4" t="s">
        <v>34</v>
      </c>
      <c r="C9" s="4" t="s">
        <v>35</v>
      </c>
      <c r="D9" s="4" t="s">
        <v>9</v>
      </c>
      <c r="E9" s="10"/>
      <c r="F9" s="5">
        <v>21.0</v>
      </c>
      <c r="G9" s="6">
        <v>11093.73</v>
      </c>
      <c r="H9" s="6">
        <v>232968.33</v>
      </c>
    </row>
    <row r="10">
      <c r="B10" s="4" t="s">
        <v>36</v>
      </c>
      <c r="C10" s="4" t="s">
        <v>37</v>
      </c>
      <c r="D10" s="4" t="s">
        <v>9</v>
      </c>
      <c r="E10" s="4" t="s">
        <v>10</v>
      </c>
      <c r="F10" s="5">
        <v>18.0</v>
      </c>
      <c r="G10" s="6">
        <v>66775.0</v>
      </c>
      <c r="H10" s="6">
        <v>1201950.0</v>
      </c>
    </row>
    <row r="11">
      <c r="B11" s="4" t="s">
        <v>38</v>
      </c>
      <c r="C11" s="4" t="s">
        <v>39</v>
      </c>
      <c r="D11" s="4" t="s">
        <v>9</v>
      </c>
      <c r="E11" s="4" t="s">
        <v>10</v>
      </c>
      <c r="F11" s="5">
        <v>13.0</v>
      </c>
      <c r="G11" s="6">
        <v>26985.66</v>
      </c>
      <c r="H11" s="6">
        <v>350813.58</v>
      </c>
    </row>
    <row r="12">
      <c r="B12" s="4" t="s">
        <v>41</v>
      </c>
      <c r="C12" s="4" t="s">
        <v>42</v>
      </c>
      <c r="D12" s="4" t="s">
        <v>9</v>
      </c>
      <c r="E12" s="10"/>
      <c r="F12" s="5">
        <v>20.0</v>
      </c>
      <c r="G12" s="6">
        <v>13564.64</v>
      </c>
      <c r="H12" s="6">
        <v>271292.8</v>
      </c>
    </row>
    <row r="13">
      <c r="B13" s="4" t="s">
        <v>43</v>
      </c>
      <c r="C13" s="4" t="s">
        <v>44</v>
      </c>
      <c r="D13" s="4" t="s">
        <v>9</v>
      </c>
      <c r="E13" s="10"/>
      <c r="F13" s="5">
        <v>27.0</v>
      </c>
      <c r="G13" s="6">
        <v>11997.17</v>
      </c>
      <c r="H13" s="6">
        <v>323923.59</v>
      </c>
    </row>
    <row r="14">
      <c r="B14" s="4" t="s">
        <v>45</v>
      </c>
      <c r="C14" s="4" t="s">
        <v>46</v>
      </c>
      <c r="D14" s="4" t="s">
        <v>9</v>
      </c>
      <c r="E14" s="4" t="s">
        <v>10</v>
      </c>
      <c r="F14" s="5">
        <v>12.0</v>
      </c>
      <c r="G14" s="6">
        <v>69135.96</v>
      </c>
      <c r="H14" s="6">
        <v>829631.52</v>
      </c>
    </row>
    <row r="15">
      <c r="B15" s="4" t="s">
        <v>47</v>
      </c>
      <c r="C15" s="4" t="s">
        <v>48</v>
      </c>
      <c r="D15" s="4" t="s">
        <v>9</v>
      </c>
      <c r="E15" s="4" t="s">
        <v>23</v>
      </c>
      <c r="F15" s="5">
        <v>23.0</v>
      </c>
      <c r="G15" s="6">
        <v>11144.1</v>
      </c>
      <c r="H15" s="6">
        <v>256314.3</v>
      </c>
    </row>
    <row r="16">
      <c r="B16" s="4" t="s">
        <v>49</v>
      </c>
      <c r="C16" s="4" t="s">
        <v>50</v>
      </c>
      <c r="D16" s="4" t="s">
        <v>9</v>
      </c>
      <c r="E16" s="10"/>
      <c r="F16" s="5">
        <v>30.0</v>
      </c>
      <c r="G16" s="6">
        <v>10134.09</v>
      </c>
      <c r="H16" s="6">
        <v>304022.7</v>
      </c>
    </row>
    <row r="17">
      <c r="B17" s="4" t="s">
        <v>52</v>
      </c>
      <c r="C17" s="4" t="s">
        <v>53</v>
      </c>
      <c r="D17" s="4" t="s">
        <v>9</v>
      </c>
      <c r="E17" s="10"/>
      <c r="F17" s="5">
        <v>41.0</v>
      </c>
      <c r="G17" s="6">
        <v>18349.67</v>
      </c>
      <c r="H17" s="6">
        <v>752336.47</v>
      </c>
    </row>
    <row r="18">
      <c r="B18" s="19" t="s">
        <v>54</v>
      </c>
      <c r="C18" s="4" t="s">
        <v>55</v>
      </c>
      <c r="D18" s="4" t="s">
        <v>9</v>
      </c>
      <c r="E18" s="4" t="s">
        <v>23</v>
      </c>
      <c r="F18" s="5">
        <v>12.0</v>
      </c>
      <c r="G18" s="6">
        <v>19165.94</v>
      </c>
      <c r="H18" s="6">
        <v>229991.28</v>
      </c>
    </row>
    <row r="19">
      <c r="B19" s="4" t="s">
        <v>58</v>
      </c>
      <c r="C19" s="4" t="s">
        <v>59</v>
      </c>
      <c r="D19" s="4" t="s">
        <v>9</v>
      </c>
      <c r="E19" s="4" t="s">
        <v>23</v>
      </c>
      <c r="F19" s="5">
        <v>2.0</v>
      </c>
      <c r="G19" s="6">
        <v>111235.99</v>
      </c>
      <c r="H19" s="6">
        <v>222471.98</v>
      </c>
    </row>
    <row r="20">
      <c r="B20" s="4" t="s">
        <v>60</v>
      </c>
      <c r="C20" s="4" t="s">
        <v>61</v>
      </c>
      <c r="D20" s="4" t="s">
        <v>9</v>
      </c>
      <c r="E20" s="10"/>
      <c r="F20" s="5">
        <v>218.0</v>
      </c>
      <c r="G20" s="6">
        <v>1221.83</v>
      </c>
      <c r="H20" s="6">
        <v>266358.94</v>
      </c>
    </row>
    <row r="21">
      <c r="B21" s="4" t="s">
        <v>62</v>
      </c>
      <c r="C21" s="4" t="s">
        <v>63</v>
      </c>
      <c r="D21" s="4" t="s">
        <v>9</v>
      </c>
      <c r="E21" s="10"/>
      <c r="F21" s="5">
        <v>236.0</v>
      </c>
      <c r="G21" s="6">
        <v>1014.39</v>
      </c>
      <c r="H21" s="6">
        <v>239396.04</v>
      </c>
    </row>
    <row r="22">
      <c r="B22" s="4" t="s">
        <v>64</v>
      </c>
      <c r="C22" s="4" t="s">
        <v>65</v>
      </c>
      <c r="D22" s="4" t="s">
        <v>9</v>
      </c>
      <c r="E22" s="4" t="s">
        <v>10</v>
      </c>
      <c r="F22" s="5">
        <v>3.0</v>
      </c>
      <c r="G22" s="6">
        <v>83408.33</v>
      </c>
      <c r="H22" s="6">
        <v>250224.99</v>
      </c>
    </row>
    <row r="23">
      <c r="B23" s="4" t="s">
        <v>66</v>
      </c>
      <c r="C23" s="4" t="s">
        <v>67</v>
      </c>
      <c r="D23" s="4" t="s">
        <v>9</v>
      </c>
      <c r="E23" s="4" t="s">
        <v>10</v>
      </c>
      <c r="F23" s="5">
        <v>4.0</v>
      </c>
      <c r="G23" s="6">
        <v>81690.0</v>
      </c>
      <c r="H23" s="6">
        <v>326760.0</v>
      </c>
    </row>
    <row r="24">
      <c r="B24" s="4" t="s">
        <v>69</v>
      </c>
      <c r="C24" s="4" t="s">
        <v>70</v>
      </c>
      <c r="D24" s="4" t="s">
        <v>9</v>
      </c>
      <c r="E24" s="10"/>
      <c r="F24" s="5">
        <v>59.0</v>
      </c>
      <c r="G24" s="6">
        <v>7545.56</v>
      </c>
      <c r="H24" s="6">
        <v>445188.04</v>
      </c>
    </row>
    <row r="25">
      <c r="B25" s="4" t="s">
        <v>72</v>
      </c>
      <c r="C25" s="4" t="s">
        <v>73</v>
      </c>
      <c r="D25" s="4" t="s">
        <v>9</v>
      </c>
      <c r="E25" s="10"/>
      <c r="F25" s="5">
        <v>55.0</v>
      </c>
      <c r="G25" s="6">
        <v>7953.7</v>
      </c>
      <c r="H25" s="6">
        <v>437453.5</v>
      </c>
    </row>
    <row r="26">
      <c r="B26" s="4" t="s">
        <v>74</v>
      </c>
      <c r="C26" s="4" t="s">
        <v>75</v>
      </c>
      <c r="D26" s="4" t="s">
        <v>9</v>
      </c>
      <c r="E26" s="4" t="s">
        <v>10</v>
      </c>
      <c r="F26" s="5">
        <v>3.0</v>
      </c>
      <c r="G26" s="6">
        <v>82237.5</v>
      </c>
      <c r="H26" s="6">
        <v>246712.5</v>
      </c>
    </row>
    <row r="27">
      <c r="B27" s="4" t="s">
        <v>76</v>
      </c>
      <c r="C27" s="4" t="s">
        <v>77</v>
      </c>
      <c r="D27" s="4" t="s">
        <v>9</v>
      </c>
      <c r="E27" s="4" t="s">
        <v>10</v>
      </c>
      <c r="F27" s="5">
        <v>6.0</v>
      </c>
      <c r="G27" s="6">
        <v>30872.0</v>
      </c>
      <c r="H27" s="6">
        <v>185232.0</v>
      </c>
    </row>
    <row r="28">
      <c r="B28" s="4" t="s">
        <v>79</v>
      </c>
      <c r="C28" s="4" t="s">
        <v>80</v>
      </c>
      <c r="D28" s="4" t="s">
        <v>9</v>
      </c>
      <c r="E28" s="4" t="s">
        <v>10</v>
      </c>
      <c r="F28" s="5">
        <v>4.0</v>
      </c>
      <c r="G28" s="6">
        <v>69571.5</v>
      </c>
      <c r="H28" s="6">
        <v>278286.0</v>
      </c>
    </row>
    <row r="29">
      <c r="B29" s="4" t="s">
        <v>81</v>
      </c>
      <c r="C29" s="4" t="s">
        <v>82</v>
      </c>
      <c r="D29" s="4" t="s">
        <v>9</v>
      </c>
      <c r="E29" s="4" t="s">
        <v>10</v>
      </c>
      <c r="F29" s="5">
        <v>17.0</v>
      </c>
      <c r="G29" s="6">
        <v>20677.38</v>
      </c>
      <c r="H29" s="6">
        <v>351515.46</v>
      </c>
    </row>
    <row r="30">
      <c r="B30" s="4" t="s">
        <v>83</v>
      </c>
      <c r="C30" s="4" t="s">
        <v>84</v>
      </c>
      <c r="D30" s="4" t="s">
        <v>9</v>
      </c>
      <c r="E30" s="4" t="s">
        <v>10</v>
      </c>
      <c r="F30" s="5">
        <v>1.0</v>
      </c>
      <c r="G30" s="6">
        <v>394383.9</v>
      </c>
      <c r="H30" s="6">
        <v>394383.9</v>
      </c>
    </row>
    <row r="31">
      <c r="B31" s="4" t="s">
        <v>85</v>
      </c>
      <c r="C31" s="4" t="s">
        <v>86</v>
      </c>
      <c r="D31" s="4" t="s">
        <v>9</v>
      </c>
      <c r="E31" s="4" t="s">
        <v>10</v>
      </c>
      <c r="F31" s="5">
        <v>1.0</v>
      </c>
      <c r="G31" s="6">
        <v>461252.0</v>
      </c>
      <c r="H31" s="6">
        <v>461252.0</v>
      </c>
    </row>
    <row r="32">
      <c r="B32" s="4" t="s">
        <v>88</v>
      </c>
      <c r="C32" s="4" t="s">
        <v>89</v>
      </c>
      <c r="D32" s="4" t="s">
        <v>9</v>
      </c>
      <c r="E32" s="4" t="s">
        <v>23</v>
      </c>
      <c r="F32" s="5">
        <v>3.0</v>
      </c>
      <c r="G32" s="6">
        <v>173136.97</v>
      </c>
      <c r="H32" s="6">
        <v>519410.91</v>
      </c>
    </row>
    <row r="33">
      <c r="B33" s="4" t="s">
        <v>90</v>
      </c>
      <c r="C33" s="4" t="s">
        <v>92</v>
      </c>
      <c r="D33" s="4" t="s">
        <v>9</v>
      </c>
      <c r="E33" s="10"/>
      <c r="F33" s="5">
        <v>4.0</v>
      </c>
      <c r="G33" s="6">
        <v>57066.14</v>
      </c>
      <c r="H33" s="6">
        <v>228264.56</v>
      </c>
    </row>
    <row r="34">
      <c r="B34" s="4" t="s">
        <v>93</v>
      </c>
      <c r="C34" s="4" t="s">
        <v>94</v>
      </c>
      <c r="D34" s="4" t="s">
        <v>9</v>
      </c>
      <c r="E34" s="10"/>
      <c r="F34" s="5">
        <v>3.0</v>
      </c>
      <c r="G34" s="6">
        <v>60628.8</v>
      </c>
      <c r="H34" s="6">
        <v>181886.4</v>
      </c>
    </row>
    <row r="35">
      <c r="B35" s="4" t="s">
        <v>95</v>
      </c>
      <c r="C35" s="4" t="s">
        <v>96</v>
      </c>
      <c r="D35" s="4" t="s">
        <v>9</v>
      </c>
      <c r="E35" s="4" t="s">
        <v>23</v>
      </c>
      <c r="F35" s="5">
        <v>1.0</v>
      </c>
      <c r="G35" s="6">
        <v>189415.49</v>
      </c>
      <c r="H35" s="6">
        <v>189415.49</v>
      </c>
    </row>
    <row r="36">
      <c r="B36" s="4" t="s">
        <v>97</v>
      </c>
      <c r="C36" s="4" t="s">
        <v>98</v>
      </c>
      <c r="D36" s="4" t="s">
        <v>9</v>
      </c>
      <c r="E36" s="10"/>
      <c r="F36" s="5">
        <v>4.0</v>
      </c>
      <c r="G36" s="6">
        <v>44536.73</v>
      </c>
      <c r="H36" s="6">
        <v>178146.92</v>
      </c>
    </row>
    <row r="37">
      <c r="B37" s="19" t="s">
        <v>100</v>
      </c>
      <c r="C37" s="4" t="s">
        <v>102</v>
      </c>
      <c r="D37" s="4" t="s">
        <v>9</v>
      </c>
      <c r="E37" s="4" t="s">
        <v>23</v>
      </c>
      <c r="F37" s="5">
        <v>1.0</v>
      </c>
      <c r="G37" s="6">
        <v>258722.03</v>
      </c>
      <c r="H37" s="6">
        <v>258722.03</v>
      </c>
    </row>
    <row r="38">
      <c r="B38" s="4" t="s">
        <v>103</v>
      </c>
      <c r="C38" s="4" t="s">
        <v>104</v>
      </c>
      <c r="D38" s="4" t="s">
        <v>9</v>
      </c>
      <c r="E38" s="4" t="s">
        <v>23</v>
      </c>
      <c r="F38" s="5">
        <v>4.0</v>
      </c>
      <c r="G38" s="6">
        <v>45748.99</v>
      </c>
      <c r="H38" s="6">
        <v>182995.96</v>
      </c>
    </row>
    <row r="39">
      <c r="B39" s="4" t="s">
        <v>105</v>
      </c>
      <c r="C39" s="4" t="s">
        <v>106</v>
      </c>
      <c r="D39" s="4" t="s">
        <v>9</v>
      </c>
      <c r="E39" s="4" t="s">
        <v>23</v>
      </c>
      <c r="F39" s="5">
        <v>2.0</v>
      </c>
      <c r="G39" s="6">
        <v>273407.24</v>
      </c>
      <c r="H39" s="6">
        <v>546814.48</v>
      </c>
    </row>
    <row r="40">
      <c r="B40" s="4" t="s">
        <v>107</v>
      </c>
      <c r="C40" s="4" t="s">
        <v>108</v>
      </c>
      <c r="D40" s="4" t="s">
        <v>9</v>
      </c>
      <c r="E40" s="4" t="s">
        <v>23</v>
      </c>
      <c r="F40" s="5">
        <v>6.0</v>
      </c>
      <c r="G40" s="6">
        <v>30883.75</v>
      </c>
      <c r="H40" s="6">
        <v>185302.5</v>
      </c>
    </row>
    <row r="41">
      <c r="B41" s="4" t="s">
        <v>110</v>
      </c>
      <c r="C41" s="4" t="s">
        <v>111</v>
      </c>
      <c r="D41" s="4" t="s">
        <v>9</v>
      </c>
      <c r="E41" s="4" t="s">
        <v>23</v>
      </c>
      <c r="F41" s="5">
        <v>4.0</v>
      </c>
      <c r="G41" s="6">
        <v>149410.3</v>
      </c>
      <c r="H41" s="6">
        <v>597641.2</v>
      </c>
    </row>
    <row r="42">
      <c r="B42" s="4" t="s">
        <v>113</v>
      </c>
      <c r="C42" s="4" t="s">
        <v>114</v>
      </c>
      <c r="D42" s="4" t="s">
        <v>9</v>
      </c>
      <c r="E42" s="10"/>
      <c r="F42" s="5">
        <v>1.0</v>
      </c>
      <c r="G42" s="6">
        <v>907548.32</v>
      </c>
      <c r="H42" s="6">
        <v>907548.32</v>
      </c>
    </row>
    <row r="43">
      <c r="B43" s="4" t="s">
        <v>115</v>
      </c>
      <c r="C43" s="4" t="s">
        <v>116</v>
      </c>
      <c r="D43" s="4" t="s">
        <v>9</v>
      </c>
      <c r="E43" s="10"/>
      <c r="F43" s="5">
        <v>3.0</v>
      </c>
      <c r="G43" s="6">
        <v>100818.92</v>
      </c>
      <c r="H43" s="6">
        <v>302456.76</v>
      </c>
    </row>
    <row r="44">
      <c r="B44" s="4" t="s">
        <v>118</v>
      </c>
      <c r="C44" s="4" t="s">
        <v>119</v>
      </c>
      <c r="D44" s="4" t="s">
        <v>9</v>
      </c>
      <c r="E44" s="4" t="s">
        <v>10</v>
      </c>
      <c r="F44" s="5">
        <v>19.0</v>
      </c>
      <c r="G44" s="6">
        <v>13311.03</v>
      </c>
      <c r="H44" s="6">
        <v>252909.57</v>
      </c>
    </row>
    <row r="45">
      <c r="B45" s="4" t="s">
        <v>121</v>
      </c>
      <c r="C45" s="4" t="s">
        <v>122</v>
      </c>
      <c r="D45" s="4" t="s">
        <v>9</v>
      </c>
      <c r="E45" s="4" t="s">
        <v>23</v>
      </c>
      <c r="F45" s="5">
        <v>2.0</v>
      </c>
      <c r="G45" s="6">
        <v>101265.58</v>
      </c>
      <c r="H45" s="6">
        <v>202531.16</v>
      </c>
    </row>
    <row r="46">
      <c r="B46" s="4" t="s">
        <v>123</v>
      </c>
      <c r="C46" s="4" t="s">
        <v>124</v>
      </c>
      <c r="D46" s="4" t="s">
        <v>9</v>
      </c>
      <c r="E46" s="4" t="s">
        <v>23</v>
      </c>
      <c r="F46" s="5">
        <v>2.0</v>
      </c>
      <c r="G46" s="6">
        <v>403354.81</v>
      </c>
      <c r="H46" s="6">
        <v>806709.62</v>
      </c>
    </row>
    <row r="47">
      <c r="B47" s="4" t="s">
        <v>125</v>
      </c>
      <c r="C47" s="4" t="s">
        <v>126</v>
      </c>
      <c r="D47" s="4" t="s">
        <v>9</v>
      </c>
      <c r="E47" s="10"/>
      <c r="F47" s="5">
        <v>6.0</v>
      </c>
      <c r="G47" s="6">
        <v>250985.84</v>
      </c>
      <c r="H47" s="6">
        <v>1505915.04</v>
      </c>
    </row>
    <row r="48">
      <c r="B48" s="4" t="s">
        <v>128</v>
      </c>
      <c r="C48" s="4" t="s">
        <v>129</v>
      </c>
      <c r="D48" s="4" t="s">
        <v>9</v>
      </c>
      <c r="E48" s="10"/>
      <c r="F48" s="5">
        <v>24.0</v>
      </c>
      <c r="G48" s="6">
        <v>21686.28</v>
      </c>
      <c r="H48" s="6">
        <v>520470.72</v>
      </c>
    </row>
    <row r="49">
      <c r="B49" s="4" t="s">
        <v>130</v>
      </c>
      <c r="C49" s="4" t="s">
        <v>131</v>
      </c>
      <c r="D49" s="4" t="s">
        <v>9</v>
      </c>
      <c r="E49" s="10"/>
      <c r="F49" s="5">
        <v>23.0</v>
      </c>
      <c r="G49" s="6">
        <v>21200.6</v>
      </c>
      <c r="H49" s="6">
        <v>487613.8</v>
      </c>
    </row>
    <row r="50">
      <c r="B50" s="4" t="s">
        <v>132</v>
      </c>
      <c r="C50" s="4" t="s">
        <v>133</v>
      </c>
      <c r="D50" s="4" t="s">
        <v>9</v>
      </c>
      <c r="E50" s="4" t="s">
        <v>23</v>
      </c>
      <c r="F50" s="5">
        <v>10.0</v>
      </c>
      <c r="G50" s="6">
        <v>30926.77</v>
      </c>
      <c r="H50" s="6">
        <v>309267.7</v>
      </c>
    </row>
    <row r="51">
      <c r="B51" s="4" t="s">
        <v>136</v>
      </c>
      <c r="C51" s="4" t="s">
        <v>137</v>
      </c>
      <c r="D51" s="4" t="s">
        <v>9</v>
      </c>
      <c r="E51" s="4" t="s">
        <v>23</v>
      </c>
      <c r="F51" s="5">
        <v>7.0</v>
      </c>
      <c r="G51" s="6">
        <v>98981.48</v>
      </c>
      <c r="H51" s="6">
        <v>692870.36</v>
      </c>
    </row>
    <row r="52">
      <c r="B52" s="4" t="s">
        <v>138</v>
      </c>
      <c r="C52" s="4" t="s">
        <v>139</v>
      </c>
      <c r="D52" s="4" t="s">
        <v>9</v>
      </c>
      <c r="E52" s="4" t="s">
        <v>23</v>
      </c>
      <c r="F52" s="5">
        <v>1.0</v>
      </c>
      <c r="G52" s="6">
        <v>439510.97</v>
      </c>
      <c r="H52" s="6">
        <v>439510.97</v>
      </c>
    </row>
    <row r="53">
      <c r="B53" s="19" t="s">
        <v>140</v>
      </c>
      <c r="C53" s="4" t="s">
        <v>141</v>
      </c>
      <c r="D53" s="4" t="s">
        <v>9</v>
      </c>
      <c r="E53" s="4" t="s">
        <v>23</v>
      </c>
      <c r="F53" s="5">
        <v>2.0</v>
      </c>
      <c r="G53" s="6">
        <v>395400.39</v>
      </c>
      <c r="H53" s="6">
        <v>790800.78</v>
      </c>
    </row>
    <row r="54">
      <c r="B54" s="4" t="s">
        <v>144</v>
      </c>
      <c r="C54" s="4" t="s">
        <v>145</v>
      </c>
      <c r="D54" s="4" t="s">
        <v>9</v>
      </c>
      <c r="E54" s="10"/>
      <c r="F54" s="5">
        <v>2.0</v>
      </c>
      <c r="G54" s="6">
        <v>153739.45</v>
      </c>
      <c r="H54" s="6">
        <v>307478.9</v>
      </c>
    </row>
    <row r="55">
      <c r="B55" s="4" t="s">
        <v>146</v>
      </c>
      <c r="C55" s="4" t="s">
        <v>147</v>
      </c>
      <c r="D55" s="4" t="s">
        <v>9</v>
      </c>
      <c r="E55" s="4" t="s">
        <v>23</v>
      </c>
      <c r="F55" s="5">
        <v>2.0</v>
      </c>
      <c r="G55" s="6">
        <v>205084.41</v>
      </c>
      <c r="H55" s="6">
        <v>410168.82</v>
      </c>
    </row>
    <row r="56">
      <c r="B56" s="4" t="s">
        <v>148</v>
      </c>
      <c r="C56" s="4" t="s">
        <v>149</v>
      </c>
      <c r="D56" s="4" t="s">
        <v>9</v>
      </c>
      <c r="E56" s="4" t="s">
        <v>23</v>
      </c>
      <c r="F56" s="5">
        <v>5.0</v>
      </c>
      <c r="G56" s="6">
        <v>56942.91</v>
      </c>
      <c r="H56" s="6">
        <v>284714.55</v>
      </c>
    </row>
    <row r="57">
      <c r="B57" s="4" t="s">
        <v>150</v>
      </c>
      <c r="C57" s="4" t="s">
        <v>151</v>
      </c>
      <c r="D57" s="4" t="s">
        <v>9</v>
      </c>
      <c r="E57" s="4" t="s">
        <v>23</v>
      </c>
      <c r="F57" s="5">
        <v>3.0</v>
      </c>
      <c r="G57" s="6">
        <v>89113.8</v>
      </c>
      <c r="H57" s="6">
        <v>267341.4</v>
      </c>
    </row>
    <row r="58">
      <c r="B58" s="4" t="s">
        <v>152</v>
      </c>
      <c r="C58" s="4" t="s">
        <v>153</v>
      </c>
      <c r="D58" s="4" t="s">
        <v>9</v>
      </c>
      <c r="E58" s="4" t="s">
        <v>23</v>
      </c>
      <c r="F58" s="5">
        <v>1.0</v>
      </c>
      <c r="G58" s="6">
        <v>350625.91</v>
      </c>
      <c r="H58" s="6">
        <v>350625.91</v>
      </c>
    </row>
    <row r="59">
      <c r="B59" s="4" t="s">
        <v>155</v>
      </c>
      <c r="C59" s="4" t="s">
        <v>156</v>
      </c>
      <c r="D59" s="4" t="s">
        <v>9</v>
      </c>
      <c r="E59" s="4" t="s">
        <v>10</v>
      </c>
      <c r="F59" s="5">
        <v>10.0</v>
      </c>
      <c r="G59" s="6">
        <v>24120.0</v>
      </c>
      <c r="H59" s="6">
        <v>241200.0</v>
      </c>
    </row>
    <row r="60">
      <c r="B60" s="4" t="s">
        <v>157</v>
      </c>
      <c r="C60" s="4" t="s">
        <v>158</v>
      </c>
      <c r="D60" s="4" t="s">
        <v>9</v>
      </c>
      <c r="E60" s="4" t="s">
        <v>23</v>
      </c>
      <c r="F60" s="5">
        <v>4.0</v>
      </c>
      <c r="G60" s="6">
        <v>45705.82</v>
      </c>
      <c r="H60" s="6">
        <v>182823.28</v>
      </c>
    </row>
    <row r="61">
      <c r="B61" s="19" t="s">
        <v>160</v>
      </c>
      <c r="C61" s="4" t="s">
        <v>161</v>
      </c>
      <c r="D61" s="4" t="s">
        <v>9</v>
      </c>
      <c r="E61" s="4" t="s">
        <v>23</v>
      </c>
      <c r="F61" s="5">
        <v>1.0</v>
      </c>
      <c r="G61" s="6">
        <v>212007.76</v>
      </c>
      <c r="H61" s="6">
        <v>212007.76</v>
      </c>
    </row>
    <row r="62">
      <c r="B62" s="4" t="s">
        <v>163</v>
      </c>
      <c r="C62" s="4" t="s">
        <v>164</v>
      </c>
      <c r="D62" s="4" t="s">
        <v>9</v>
      </c>
      <c r="E62" s="4" t="s">
        <v>23</v>
      </c>
      <c r="F62" s="5">
        <v>5.0</v>
      </c>
      <c r="G62" s="6">
        <v>194121.5</v>
      </c>
      <c r="H62" s="6">
        <v>970607.5</v>
      </c>
    </row>
    <row r="63">
      <c r="B63" s="19" t="s">
        <v>165</v>
      </c>
      <c r="C63" s="4" t="s">
        <v>167</v>
      </c>
      <c r="D63" s="4" t="s">
        <v>9</v>
      </c>
      <c r="E63" s="4" t="s">
        <v>23</v>
      </c>
      <c r="F63" s="5">
        <v>1.0</v>
      </c>
      <c r="G63" s="6">
        <v>257578.15</v>
      </c>
      <c r="H63" s="6">
        <v>257578.15</v>
      </c>
    </row>
    <row r="64">
      <c r="B64" s="4" t="s">
        <v>168</v>
      </c>
      <c r="C64" s="4" t="s">
        <v>169</v>
      </c>
      <c r="D64" s="4" t="s">
        <v>9</v>
      </c>
      <c r="E64" s="4" t="s">
        <v>23</v>
      </c>
      <c r="F64" s="5">
        <v>2.0</v>
      </c>
      <c r="G64" s="6">
        <v>133094.03</v>
      </c>
      <c r="H64" s="6">
        <v>266188.06</v>
      </c>
    </row>
    <row r="65">
      <c r="B65" s="19" t="s">
        <v>171</v>
      </c>
      <c r="C65" s="4" t="s">
        <v>172</v>
      </c>
      <c r="D65" s="4" t="s">
        <v>9</v>
      </c>
      <c r="E65" s="4" t="s">
        <v>173</v>
      </c>
      <c r="F65" s="5">
        <v>36.0</v>
      </c>
      <c r="G65" s="6">
        <v>21449.92</v>
      </c>
      <c r="H65" s="6">
        <v>772197.12</v>
      </c>
    </row>
    <row r="66">
      <c r="B66" s="4" t="s">
        <v>174</v>
      </c>
      <c r="C66" s="4" t="s">
        <v>175</v>
      </c>
      <c r="D66" s="4" t="s">
        <v>9</v>
      </c>
      <c r="E66" s="10"/>
      <c r="F66" s="5">
        <v>7.0</v>
      </c>
      <c r="G66" s="6">
        <v>91648.84</v>
      </c>
      <c r="H66" s="6">
        <v>641541.88</v>
      </c>
    </row>
    <row r="67">
      <c r="B67" s="4" t="s">
        <v>176</v>
      </c>
      <c r="C67" s="4" t="s">
        <v>178</v>
      </c>
      <c r="D67" s="4" t="s">
        <v>9</v>
      </c>
      <c r="E67" s="10"/>
      <c r="F67" s="5">
        <v>4.0</v>
      </c>
      <c r="G67" s="6">
        <v>74198.5</v>
      </c>
      <c r="H67" s="6">
        <v>296794.0</v>
      </c>
    </row>
    <row r="68">
      <c r="B68" s="19" t="s">
        <v>180</v>
      </c>
      <c r="C68" s="4" t="s">
        <v>181</v>
      </c>
      <c r="D68" s="4" t="s">
        <v>9</v>
      </c>
      <c r="E68" s="4" t="s">
        <v>23</v>
      </c>
      <c r="F68" s="5">
        <v>1.0</v>
      </c>
      <c r="G68" s="6">
        <v>195367.82</v>
      </c>
      <c r="H68" s="6">
        <v>195367.82</v>
      </c>
    </row>
    <row r="69">
      <c r="B69" s="19" t="s">
        <v>182</v>
      </c>
      <c r="C69" s="4" t="s">
        <v>184</v>
      </c>
      <c r="D69" s="4" t="s">
        <v>9</v>
      </c>
      <c r="E69" s="4" t="s">
        <v>23</v>
      </c>
      <c r="F69" s="5">
        <v>2.0</v>
      </c>
      <c r="G69" s="6">
        <v>325438.8</v>
      </c>
      <c r="H69" s="6">
        <v>650877.6</v>
      </c>
    </row>
    <row r="70">
      <c r="B70" s="19" t="s">
        <v>186</v>
      </c>
      <c r="C70" s="4" t="s">
        <v>187</v>
      </c>
      <c r="D70" s="4" t="s">
        <v>9</v>
      </c>
      <c r="E70" s="4" t="s">
        <v>23</v>
      </c>
      <c r="F70" s="5">
        <v>6.0</v>
      </c>
      <c r="G70" s="6">
        <v>69502.08</v>
      </c>
      <c r="H70" s="6">
        <v>417012.48</v>
      </c>
    </row>
    <row r="71">
      <c r="B71" s="4" t="s">
        <v>188</v>
      </c>
      <c r="C71" s="4" t="s">
        <v>189</v>
      </c>
      <c r="D71" s="4" t="s">
        <v>9</v>
      </c>
      <c r="E71" s="10"/>
      <c r="F71" s="5">
        <v>20.0</v>
      </c>
      <c r="G71" s="6">
        <v>24327.0</v>
      </c>
      <c r="H71" s="6">
        <v>486540.0</v>
      </c>
    </row>
    <row r="72">
      <c r="B72" s="4" t="s">
        <v>191</v>
      </c>
      <c r="C72" s="4" t="s">
        <v>192</v>
      </c>
      <c r="D72" s="4" t="s">
        <v>9</v>
      </c>
      <c r="E72" s="10"/>
      <c r="F72" s="5">
        <v>11.0</v>
      </c>
      <c r="G72" s="6">
        <v>20698.49</v>
      </c>
      <c r="H72" s="6">
        <v>227683.39</v>
      </c>
    </row>
    <row r="73">
      <c r="B73" s="4" t="s">
        <v>193</v>
      </c>
      <c r="C73" s="4" t="s">
        <v>194</v>
      </c>
      <c r="D73" s="4" t="s">
        <v>9</v>
      </c>
      <c r="E73" s="10"/>
      <c r="F73" s="5">
        <v>10.0</v>
      </c>
      <c r="G73" s="6">
        <v>27810.0</v>
      </c>
      <c r="H73" s="6">
        <v>278100.0</v>
      </c>
    </row>
    <row r="74">
      <c r="B74" s="4" t="s">
        <v>195</v>
      </c>
      <c r="C74" s="4" t="s">
        <v>196</v>
      </c>
      <c r="D74" s="4" t="s">
        <v>9</v>
      </c>
      <c r="E74" s="4" t="s">
        <v>10</v>
      </c>
      <c r="F74" s="5">
        <v>2.0</v>
      </c>
      <c r="G74" s="6">
        <v>125792.0</v>
      </c>
      <c r="H74" s="6">
        <v>251584.0</v>
      </c>
    </row>
    <row r="75">
      <c r="B75" s="4" t="s">
        <v>197</v>
      </c>
      <c r="C75" s="4" t="s">
        <v>199</v>
      </c>
      <c r="D75" s="4" t="s">
        <v>9</v>
      </c>
      <c r="E75" s="4" t="s">
        <v>23</v>
      </c>
      <c r="F75" s="5">
        <v>2.0</v>
      </c>
      <c r="G75" s="6">
        <v>282229.8</v>
      </c>
      <c r="H75" s="6">
        <v>564459.6</v>
      </c>
    </row>
    <row r="76">
      <c r="B76" s="4" t="s">
        <v>200</v>
      </c>
      <c r="C76" s="4" t="s">
        <v>201</v>
      </c>
      <c r="D76" s="4" t="s">
        <v>9</v>
      </c>
      <c r="E76" s="4" t="s">
        <v>23</v>
      </c>
      <c r="F76" s="5">
        <v>1.0</v>
      </c>
      <c r="G76" s="6">
        <v>970058.51</v>
      </c>
      <c r="H76" s="6">
        <v>970058.51</v>
      </c>
    </row>
    <row r="77">
      <c r="B77" s="4" t="s">
        <v>202</v>
      </c>
      <c r="C77" s="4" t="s">
        <v>203</v>
      </c>
      <c r="D77" s="4" t="s">
        <v>9</v>
      </c>
      <c r="E77" s="4" t="s">
        <v>23</v>
      </c>
      <c r="F77" s="5">
        <v>2.0</v>
      </c>
      <c r="G77" s="6">
        <v>132732.99</v>
      </c>
      <c r="H77" s="6">
        <v>265465.98</v>
      </c>
    </row>
    <row r="78">
      <c r="B78" s="4" t="s">
        <v>204</v>
      </c>
      <c r="C78" s="4" t="s">
        <v>205</v>
      </c>
      <c r="D78" s="4" t="s">
        <v>9</v>
      </c>
      <c r="E78" s="4" t="s">
        <v>10</v>
      </c>
      <c r="F78" s="5">
        <v>1.0</v>
      </c>
      <c r="G78" s="6">
        <v>476959.5</v>
      </c>
      <c r="H78" s="6">
        <v>476959.5</v>
      </c>
    </row>
    <row r="79">
      <c r="B79" s="19" t="s">
        <v>207</v>
      </c>
      <c r="C79" s="4" t="s">
        <v>208</v>
      </c>
      <c r="D79" s="4" t="s">
        <v>9</v>
      </c>
      <c r="E79" s="4" t="s">
        <v>23</v>
      </c>
      <c r="F79" s="5">
        <v>8.0</v>
      </c>
      <c r="G79" s="6">
        <v>43861.71</v>
      </c>
      <c r="H79" s="6">
        <v>350893.68</v>
      </c>
    </row>
    <row r="80">
      <c r="B80" s="4" t="s">
        <v>209</v>
      </c>
      <c r="C80" s="4" t="s">
        <v>210</v>
      </c>
      <c r="D80" s="4" t="s">
        <v>9</v>
      </c>
      <c r="E80" s="4" t="s">
        <v>23</v>
      </c>
      <c r="F80" s="5">
        <v>14.0</v>
      </c>
      <c r="G80" s="6">
        <v>12883.12</v>
      </c>
      <c r="H80" s="6">
        <v>180363.68</v>
      </c>
    </row>
    <row r="81">
      <c r="B81" s="4" t="s">
        <v>212</v>
      </c>
      <c r="C81" s="4" t="s">
        <v>213</v>
      </c>
      <c r="D81" s="4" t="s">
        <v>9</v>
      </c>
      <c r="E81" s="4" t="s">
        <v>23</v>
      </c>
      <c r="F81" s="5">
        <v>22.0</v>
      </c>
      <c r="G81" s="6">
        <v>14547.57</v>
      </c>
      <c r="H81" s="6">
        <v>320046.54</v>
      </c>
    </row>
    <row r="82">
      <c r="B82" s="19" t="s">
        <v>214</v>
      </c>
      <c r="C82" s="4" t="s">
        <v>215</v>
      </c>
      <c r="D82" s="4" t="s">
        <v>9</v>
      </c>
      <c r="E82" s="4" t="s">
        <v>23</v>
      </c>
      <c r="F82" s="5">
        <v>1.0</v>
      </c>
      <c r="G82" s="6">
        <v>394364.92</v>
      </c>
      <c r="H82" s="6">
        <v>394364.92</v>
      </c>
    </row>
    <row r="83">
      <c r="B83" s="4" t="s">
        <v>218</v>
      </c>
      <c r="C83" s="4" t="s">
        <v>219</v>
      </c>
      <c r="D83" s="4" t="s">
        <v>9</v>
      </c>
      <c r="E83" s="4" t="s">
        <v>23</v>
      </c>
      <c r="F83" s="5">
        <v>1.0</v>
      </c>
      <c r="G83" s="6">
        <v>483234.54</v>
      </c>
      <c r="H83" s="6">
        <v>483234.54</v>
      </c>
    </row>
    <row r="84">
      <c r="B84" s="4" t="s">
        <v>220</v>
      </c>
      <c r="C84" s="4" t="s">
        <v>221</v>
      </c>
      <c r="D84" s="4" t="s">
        <v>9</v>
      </c>
      <c r="E84" s="4" t="s">
        <v>23</v>
      </c>
      <c r="F84" s="5">
        <v>2.0</v>
      </c>
      <c r="G84" s="6">
        <v>108902.45</v>
      </c>
      <c r="H84" s="6">
        <v>217804.9</v>
      </c>
    </row>
    <row r="85">
      <c r="B85" s="4" t="s">
        <v>78</v>
      </c>
      <c r="C85" s="4" t="s">
        <v>222</v>
      </c>
      <c r="D85" s="4" t="s">
        <v>9</v>
      </c>
      <c r="E85" s="4" t="s">
        <v>23</v>
      </c>
      <c r="F85" s="5">
        <v>1.0</v>
      </c>
      <c r="G85" s="6">
        <v>410350.8</v>
      </c>
      <c r="H85" s="6">
        <v>410350.8</v>
      </c>
    </row>
    <row r="86">
      <c r="B86" s="4" t="s">
        <v>101</v>
      </c>
      <c r="C86" s="4" t="s">
        <v>224</v>
      </c>
      <c r="D86" s="4" t="s">
        <v>9</v>
      </c>
      <c r="E86" s="4" t="s">
        <v>23</v>
      </c>
      <c r="F86" s="5">
        <v>3.0</v>
      </c>
      <c r="G86" s="6">
        <v>81012.74</v>
      </c>
      <c r="H86" s="6">
        <v>243038.22</v>
      </c>
    </row>
    <row r="87">
      <c r="B87" s="4" t="s">
        <v>117</v>
      </c>
      <c r="C87" s="4" t="s">
        <v>225</v>
      </c>
      <c r="D87" s="4" t="s">
        <v>9</v>
      </c>
      <c r="E87" s="4" t="s">
        <v>23</v>
      </c>
      <c r="F87" s="5">
        <v>1.0</v>
      </c>
      <c r="G87" s="6">
        <v>363427.23</v>
      </c>
      <c r="H87" s="6">
        <v>363427.23</v>
      </c>
    </row>
    <row r="88">
      <c r="B88" s="4" t="s">
        <v>226</v>
      </c>
      <c r="C88" s="4" t="s">
        <v>227</v>
      </c>
      <c r="D88" s="4" t="s">
        <v>9</v>
      </c>
      <c r="E88" s="4" t="s">
        <v>23</v>
      </c>
      <c r="F88" s="5">
        <v>3.0</v>
      </c>
      <c r="G88" s="6">
        <v>110600.58</v>
      </c>
      <c r="H88" s="6">
        <v>331801.74</v>
      </c>
    </row>
    <row r="89">
      <c r="B89" s="4" t="s">
        <v>154</v>
      </c>
      <c r="C89" s="4" t="s">
        <v>229</v>
      </c>
      <c r="D89" s="4" t="s">
        <v>9</v>
      </c>
      <c r="E89" s="4" t="s">
        <v>23</v>
      </c>
      <c r="F89" s="5">
        <v>3.0</v>
      </c>
      <c r="G89" s="6">
        <v>773263.52</v>
      </c>
      <c r="H89" s="6">
        <v>2319790.56</v>
      </c>
    </row>
    <row r="90">
      <c r="B90" s="4" t="s">
        <v>170</v>
      </c>
      <c r="C90" s="4" t="s">
        <v>230</v>
      </c>
      <c r="D90" s="4" t="s">
        <v>9</v>
      </c>
      <c r="E90" s="4" t="s">
        <v>23</v>
      </c>
      <c r="F90" s="5">
        <v>3.0</v>
      </c>
      <c r="G90" s="6">
        <v>905821.77</v>
      </c>
      <c r="H90" s="6">
        <v>2717465.31</v>
      </c>
    </row>
    <row r="91">
      <c r="B91" s="4" t="s">
        <v>211</v>
      </c>
      <c r="C91" s="4" t="s">
        <v>231</v>
      </c>
      <c r="D91" s="4" t="s">
        <v>9</v>
      </c>
      <c r="E91" s="4" t="s">
        <v>23</v>
      </c>
      <c r="F91" s="5">
        <v>2.0</v>
      </c>
      <c r="G91" s="6">
        <v>878669.27</v>
      </c>
      <c r="H91" s="6">
        <v>1757338.54</v>
      </c>
    </row>
    <row r="92">
      <c r="B92" s="4" t="s">
        <v>183</v>
      </c>
      <c r="C92" s="4" t="s">
        <v>234</v>
      </c>
      <c r="D92" s="4" t="s">
        <v>9</v>
      </c>
      <c r="E92" s="4" t="s">
        <v>23</v>
      </c>
      <c r="F92" s="5">
        <v>2.0</v>
      </c>
      <c r="G92" s="6">
        <v>667696.56</v>
      </c>
      <c r="H92" s="6">
        <v>1335393.12</v>
      </c>
    </row>
    <row r="93">
      <c r="B93" s="4" t="s">
        <v>198</v>
      </c>
      <c r="C93" s="4" t="s">
        <v>235</v>
      </c>
      <c r="D93" s="4" t="s">
        <v>9</v>
      </c>
      <c r="E93" s="4" t="s">
        <v>23</v>
      </c>
      <c r="F93" s="5">
        <v>1.0</v>
      </c>
      <c r="G93" s="6">
        <v>294594.69</v>
      </c>
      <c r="H93" s="6">
        <v>294594.69</v>
      </c>
    </row>
    <row r="94">
      <c r="B94" s="4" t="s">
        <v>236</v>
      </c>
      <c r="C94" s="4" t="s">
        <v>237</v>
      </c>
      <c r="D94" s="4" t="s">
        <v>9</v>
      </c>
      <c r="E94" s="4" t="s">
        <v>23</v>
      </c>
      <c r="F94" s="5">
        <v>3.0</v>
      </c>
      <c r="G94" s="6">
        <v>485054.12</v>
      </c>
      <c r="H94" s="6">
        <v>1455162.36</v>
      </c>
    </row>
    <row r="95">
      <c r="B95" s="4" t="s">
        <v>252</v>
      </c>
      <c r="C95" s="4" t="s">
        <v>253</v>
      </c>
      <c r="D95" s="4" t="s">
        <v>9</v>
      </c>
      <c r="E95" s="4" t="s">
        <v>23</v>
      </c>
      <c r="F95" s="5">
        <v>1.0</v>
      </c>
      <c r="G95" s="6">
        <v>246255.91</v>
      </c>
      <c r="H95" s="6">
        <v>246255.91</v>
      </c>
    </row>
    <row r="96">
      <c r="B96" s="4" t="s">
        <v>255</v>
      </c>
      <c r="C96" s="4" t="s">
        <v>256</v>
      </c>
      <c r="D96" s="4" t="s">
        <v>9</v>
      </c>
      <c r="E96" s="4" t="s">
        <v>23</v>
      </c>
      <c r="F96" s="5">
        <v>1.0</v>
      </c>
      <c r="G96" s="6">
        <v>721096.37</v>
      </c>
      <c r="H96" s="6">
        <v>721096.37</v>
      </c>
    </row>
    <row r="97">
      <c r="B97" s="4" t="s">
        <v>228</v>
      </c>
      <c r="C97" s="4" t="s">
        <v>257</v>
      </c>
      <c r="D97" s="4" t="s">
        <v>9</v>
      </c>
      <c r="E97" s="4" t="s">
        <v>23</v>
      </c>
      <c r="F97" s="5">
        <v>1.0</v>
      </c>
      <c r="G97" s="6">
        <v>684723.55</v>
      </c>
      <c r="H97" s="6">
        <v>684723.55</v>
      </c>
    </row>
    <row r="98">
      <c r="B98" s="4" t="s">
        <v>258</v>
      </c>
      <c r="C98" s="4" t="s">
        <v>259</v>
      </c>
      <c r="D98" s="4" t="s">
        <v>9</v>
      </c>
      <c r="E98" s="4" t="s">
        <v>23</v>
      </c>
      <c r="F98" s="5">
        <v>1.0</v>
      </c>
      <c r="G98" s="6">
        <v>400009.02</v>
      </c>
      <c r="H98" s="6">
        <v>400009.02</v>
      </c>
    </row>
    <row r="99">
      <c r="B99" s="4" t="s">
        <v>260</v>
      </c>
      <c r="C99" s="4" t="s">
        <v>261</v>
      </c>
      <c r="D99" s="4" t="s">
        <v>9</v>
      </c>
      <c r="E99" s="4" t="s">
        <v>23</v>
      </c>
      <c r="F99" s="5">
        <v>3.0</v>
      </c>
      <c r="G99" s="6">
        <v>129191.03</v>
      </c>
      <c r="H99" s="6">
        <v>387573.09</v>
      </c>
    </row>
    <row r="100">
      <c r="B100" s="4" t="s">
        <v>263</v>
      </c>
      <c r="C100" s="4" t="s">
        <v>264</v>
      </c>
      <c r="D100" s="4" t="s">
        <v>9</v>
      </c>
      <c r="E100" s="4" t="s">
        <v>23</v>
      </c>
      <c r="F100" s="5">
        <v>18.0</v>
      </c>
      <c r="G100" s="6">
        <v>222287.26</v>
      </c>
      <c r="H100" s="6">
        <v>4001170.68</v>
      </c>
    </row>
    <row r="101">
      <c r="B101" s="19" t="s">
        <v>266</v>
      </c>
      <c r="C101" s="4" t="s">
        <v>268</v>
      </c>
      <c r="D101" s="4" t="s">
        <v>9</v>
      </c>
      <c r="E101" s="4" t="s">
        <v>23</v>
      </c>
      <c r="F101" s="5">
        <v>1.0</v>
      </c>
      <c r="G101" s="6">
        <v>764230.66</v>
      </c>
      <c r="H101" s="6">
        <v>764230.66</v>
      </c>
    </row>
    <row r="102">
      <c r="B102" s="19" t="s">
        <v>269</v>
      </c>
      <c r="C102" s="4" t="s">
        <v>271</v>
      </c>
      <c r="D102" s="4" t="s">
        <v>9</v>
      </c>
      <c r="E102" s="4" t="s">
        <v>23</v>
      </c>
      <c r="F102" s="5">
        <v>1.0</v>
      </c>
      <c r="G102" s="6">
        <v>201015.52</v>
      </c>
      <c r="H102" s="6">
        <v>201015.52</v>
      </c>
    </row>
    <row r="103">
      <c r="B103" s="4" t="s">
        <v>272</v>
      </c>
      <c r="C103" s="4" t="s">
        <v>273</v>
      </c>
      <c r="D103" s="4" t="s">
        <v>9</v>
      </c>
      <c r="E103" s="4" t="s">
        <v>23</v>
      </c>
      <c r="F103" s="5">
        <v>1.0</v>
      </c>
      <c r="G103" s="6">
        <v>319051.33</v>
      </c>
      <c r="H103" s="6">
        <v>319051.33</v>
      </c>
    </row>
    <row r="104">
      <c r="B104" s="4" t="s">
        <v>274</v>
      </c>
      <c r="C104" s="4" t="s">
        <v>275</v>
      </c>
      <c r="D104" s="4" t="s">
        <v>9</v>
      </c>
      <c r="E104" s="4" t="s">
        <v>23</v>
      </c>
      <c r="F104" s="5">
        <v>2.0</v>
      </c>
      <c r="G104" s="6">
        <v>160494.58</v>
      </c>
      <c r="H104" s="6">
        <v>320989.16</v>
      </c>
    </row>
    <row r="105">
      <c r="B105" s="4" t="s">
        <v>277</v>
      </c>
      <c r="C105" s="4" t="s">
        <v>278</v>
      </c>
      <c r="D105" s="4" t="s">
        <v>9</v>
      </c>
      <c r="E105" s="4" t="s">
        <v>23</v>
      </c>
      <c r="F105" s="5">
        <v>1.0</v>
      </c>
      <c r="G105" s="6">
        <v>611998.43</v>
      </c>
      <c r="H105" s="6">
        <v>611998.43</v>
      </c>
    </row>
    <row r="106">
      <c r="B106" s="4" t="s">
        <v>279</v>
      </c>
      <c r="C106" s="4" t="s">
        <v>280</v>
      </c>
      <c r="D106" s="4" t="s">
        <v>9</v>
      </c>
      <c r="E106" s="4" t="s">
        <v>23</v>
      </c>
      <c r="F106" s="5">
        <v>2.0</v>
      </c>
      <c r="G106" s="6">
        <v>271010.69</v>
      </c>
      <c r="H106" s="6">
        <v>542021.38</v>
      </c>
    </row>
    <row r="107">
      <c r="B107" s="4" t="s">
        <v>281</v>
      </c>
      <c r="C107" s="4" t="s">
        <v>283</v>
      </c>
      <c r="D107" s="4" t="s">
        <v>9</v>
      </c>
      <c r="E107" s="4" t="s">
        <v>23</v>
      </c>
      <c r="F107" s="5">
        <v>1.0</v>
      </c>
      <c r="G107" s="6">
        <v>256417.71</v>
      </c>
      <c r="H107" s="6">
        <v>256417.71</v>
      </c>
    </row>
    <row r="108">
      <c r="B108" s="4" t="s">
        <v>284</v>
      </c>
      <c r="C108" s="4" t="s">
        <v>285</v>
      </c>
      <c r="D108" s="4" t="s">
        <v>9</v>
      </c>
      <c r="E108" s="4" t="s">
        <v>23</v>
      </c>
      <c r="F108" s="5">
        <v>2.0</v>
      </c>
      <c r="G108" s="6">
        <v>465685.94</v>
      </c>
      <c r="H108" s="6">
        <v>931371.88</v>
      </c>
    </row>
    <row r="109">
      <c r="B109" s="4" t="s">
        <v>287</v>
      </c>
      <c r="C109" s="4" t="s">
        <v>288</v>
      </c>
      <c r="D109" s="4" t="s">
        <v>9</v>
      </c>
      <c r="E109" s="4" t="s">
        <v>23</v>
      </c>
      <c r="F109" s="5">
        <v>3.0</v>
      </c>
      <c r="G109" s="6">
        <v>89762.29</v>
      </c>
      <c r="H109" s="6">
        <v>269286.87</v>
      </c>
    </row>
    <row r="110">
      <c r="B110" s="4" t="s">
        <v>289</v>
      </c>
      <c r="C110" s="4" t="s">
        <v>291</v>
      </c>
      <c r="D110" s="4" t="s">
        <v>9</v>
      </c>
      <c r="E110" s="10"/>
      <c r="F110" s="5">
        <v>1.0</v>
      </c>
      <c r="G110" s="6">
        <v>261572.02</v>
      </c>
      <c r="H110" s="6">
        <v>261572.02</v>
      </c>
    </row>
    <row r="111">
      <c r="B111" s="4" t="s">
        <v>292</v>
      </c>
      <c r="C111" s="4" t="s">
        <v>293</v>
      </c>
      <c r="D111" s="4" t="s">
        <v>9</v>
      </c>
      <c r="E111" s="4" t="s">
        <v>23</v>
      </c>
      <c r="F111" s="5">
        <v>2.0</v>
      </c>
      <c r="G111" s="6">
        <v>228895.77</v>
      </c>
      <c r="H111" s="6">
        <v>457791.54</v>
      </c>
    </row>
    <row r="112">
      <c r="B112" s="4" t="s">
        <v>294</v>
      </c>
      <c r="C112" s="4" t="s">
        <v>295</v>
      </c>
      <c r="D112" s="4" t="s">
        <v>9</v>
      </c>
      <c r="E112" s="4" t="s">
        <v>23</v>
      </c>
      <c r="F112" s="5">
        <v>1.0</v>
      </c>
      <c r="G112" s="6">
        <v>1820072.93</v>
      </c>
      <c r="H112" s="6">
        <v>1820072.93</v>
      </c>
    </row>
    <row r="113">
      <c r="B113" s="4" t="s">
        <v>296</v>
      </c>
      <c r="C113" s="4" t="s">
        <v>297</v>
      </c>
      <c r="D113" s="4" t="s">
        <v>9</v>
      </c>
      <c r="E113" s="4" t="s">
        <v>23</v>
      </c>
      <c r="F113" s="5">
        <v>2.0</v>
      </c>
      <c r="G113" s="6">
        <v>207486.5</v>
      </c>
      <c r="H113" s="6">
        <v>414973.0</v>
      </c>
    </row>
    <row r="114">
      <c r="B114" s="4" t="s">
        <v>298</v>
      </c>
      <c r="C114" s="4" t="s">
        <v>300</v>
      </c>
      <c r="D114" s="4" t="s">
        <v>9</v>
      </c>
      <c r="E114" s="4" t="s">
        <v>23</v>
      </c>
      <c r="F114" s="5">
        <v>2.0</v>
      </c>
      <c r="G114" s="6">
        <v>645363.55</v>
      </c>
      <c r="H114" s="6">
        <v>1290727.1</v>
      </c>
    </row>
    <row r="115">
      <c r="B115" s="4" t="s">
        <v>301</v>
      </c>
      <c r="C115" s="4" t="s">
        <v>302</v>
      </c>
      <c r="D115" s="4" t="s">
        <v>9</v>
      </c>
      <c r="E115" s="4" t="s">
        <v>23</v>
      </c>
      <c r="F115" s="5">
        <v>1.0</v>
      </c>
      <c r="G115" s="6">
        <v>1759051.94</v>
      </c>
      <c r="H115" s="6">
        <v>1759051.94</v>
      </c>
    </row>
    <row r="116">
      <c r="B116" s="4" t="s">
        <v>303</v>
      </c>
      <c r="C116" s="4" t="s">
        <v>304</v>
      </c>
      <c r="D116" s="4" t="s">
        <v>9</v>
      </c>
      <c r="E116" s="4" t="s">
        <v>23</v>
      </c>
      <c r="F116" s="5">
        <v>1.0</v>
      </c>
      <c r="G116" s="6">
        <v>189652.28</v>
      </c>
      <c r="H116" s="6">
        <v>189652.28</v>
      </c>
    </row>
    <row r="117">
      <c r="B117" s="4" t="s">
        <v>306</v>
      </c>
      <c r="C117" s="4" t="s">
        <v>308</v>
      </c>
      <c r="D117" s="4" t="s">
        <v>9</v>
      </c>
      <c r="E117" s="10"/>
      <c r="F117" s="5">
        <v>2.0</v>
      </c>
      <c r="G117" s="6">
        <v>300654.04</v>
      </c>
      <c r="H117" s="6">
        <v>601308.08</v>
      </c>
    </row>
    <row r="118">
      <c r="B118" s="4" t="s">
        <v>309</v>
      </c>
      <c r="C118" s="4" t="s">
        <v>310</v>
      </c>
      <c r="D118" s="4" t="s">
        <v>9</v>
      </c>
      <c r="E118" s="4" t="s">
        <v>23</v>
      </c>
      <c r="F118" s="5">
        <v>1.0</v>
      </c>
      <c r="G118" s="6">
        <v>258252.79</v>
      </c>
      <c r="H118" s="6">
        <v>258252.79</v>
      </c>
    </row>
    <row r="119">
      <c r="B119" s="4" t="s">
        <v>311</v>
      </c>
      <c r="C119" s="4" t="s">
        <v>312</v>
      </c>
      <c r="D119" s="4" t="s">
        <v>9</v>
      </c>
      <c r="E119" s="4" t="s">
        <v>23</v>
      </c>
      <c r="F119" s="5">
        <v>1.0</v>
      </c>
      <c r="G119" s="6">
        <v>186632.81</v>
      </c>
      <c r="H119" s="6">
        <v>186632.81</v>
      </c>
    </row>
    <row r="120">
      <c r="B120" s="4" t="s">
        <v>313</v>
      </c>
      <c r="C120" s="4" t="s">
        <v>314</v>
      </c>
      <c r="D120" s="4" t="s">
        <v>9</v>
      </c>
      <c r="E120" s="4" t="s">
        <v>23</v>
      </c>
      <c r="F120" s="5">
        <v>1.0</v>
      </c>
      <c r="G120" s="6">
        <v>531924.51</v>
      </c>
      <c r="H120" s="6">
        <v>531924.51</v>
      </c>
    </row>
    <row r="121">
      <c r="B121" s="4" t="s">
        <v>315</v>
      </c>
      <c r="C121" s="4" t="s">
        <v>316</v>
      </c>
      <c r="D121" s="4" t="s">
        <v>9</v>
      </c>
      <c r="E121" s="4" t="s">
        <v>23</v>
      </c>
      <c r="F121" s="5">
        <v>2.0</v>
      </c>
      <c r="G121" s="6">
        <v>442549.46</v>
      </c>
      <c r="H121" s="6">
        <v>885098.92</v>
      </c>
    </row>
    <row r="122">
      <c r="B122" s="19" t="s">
        <v>318</v>
      </c>
      <c r="C122" s="4" t="s">
        <v>320</v>
      </c>
      <c r="D122" s="4" t="s">
        <v>9</v>
      </c>
      <c r="E122" s="4" t="s">
        <v>23</v>
      </c>
      <c r="F122" s="5">
        <v>2.0</v>
      </c>
      <c r="G122" s="6">
        <v>303460.75</v>
      </c>
      <c r="H122" s="6">
        <v>606921.5</v>
      </c>
    </row>
    <row r="123">
      <c r="B123" s="4" t="s">
        <v>321</v>
      </c>
      <c r="C123" s="4" t="s">
        <v>322</v>
      </c>
      <c r="D123" s="4" t="s">
        <v>9</v>
      </c>
      <c r="E123" s="4" t="s">
        <v>10</v>
      </c>
      <c r="F123" s="5">
        <v>1.0</v>
      </c>
      <c r="G123" s="6">
        <v>647000.0</v>
      </c>
      <c r="H123" s="6">
        <v>647000.0</v>
      </c>
    </row>
    <row r="124">
      <c r="B124" s="19" t="s">
        <v>324</v>
      </c>
      <c r="C124" s="4" t="s">
        <v>325</v>
      </c>
      <c r="D124" s="4" t="s">
        <v>9</v>
      </c>
      <c r="E124" s="4" t="s">
        <v>23</v>
      </c>
      <c r="F124" s="5">
        <v>1.0</v>
      </c>
      <c r="G124" s="6">
        <v>411492.41</v>
      </c>
      <c r="H124" s="6">
        <v>411492.41</v>
      </c>
    </row>
    <row r="125">
      <c r="B125" s="19" t="s">
        <v>326</v>
      </c>
      <c r="C125" s="4" t="s">
        <v>327</v>
      </c>
      <c r="D125" s="4" t="s">
        <v>9</v>
      </c>
      <c r="E125" s="4" t="s">
        <v>23</v>
      </c>
      <c r="F125" s="5">
        <v>1.0</v>
      </c>
      <c r="G125" s="6">
        <v>196715.48</v>
      </c>
      <c r="H125" s="6">
        <v>196715.48</v>
      </c>
    </row>
    <row r="126">
      <c r="B126" s="4" t="s">
        <v>330</v>
      </c>
      <c r="C126" s="4" t="s">
        <v>331</v>
      </c>
      <c r="D126" s="4" t="s">
        <v>9</v>
      </c>
      <c r="E126" s="4" t="s">
        <v>23</v>
      </c>
      <c r="F126" s="5">
        <v>1.0</v>
      </c>
      <c r="G126" s="6">
        <v>394836.91</v>
      </c>
      <c r="H126" s="6">
        <v>394836.91</v>
      </c>
    </row>
    <row r="127">
      <c r="B127" s="4" t="s">
        <v>332</v>
      </c>
      <c r="C127" s="4" t="s">
        <v>333</v>
      </c>
      <c r="D127" s="4" t="s">
        <v>9</v>
      </c>
      <c r="E127" s="4" t="s">
        <v>23</v>
      </c>
      <c r="F127" s="5">
        <v>1.0</v>
      </c>
      <c r="G127" s="6">
        <v>279896.2</v>
      </c>
      <c r="H127" s="6">
        <v>279896.2</v>
      </c>
    </row>
    <row r="128">
      <c r="B128" s="4" t="s">
        <v>334</v>
      </c>
      <c r="C128" s="4" t="s">
        <v>335</v>
      </c>
      <c r="D128" s="4" t="s">
        <v>9</v>
      </c>
      <c r="E128" s="4" t="s">
        <v>23</v>
      </c>
      <c r="F128" s="5">
        <v>1.0</v>
      </c>
      <c r="G128" s="6">
        <v>1141361.31</v>
      </c>
      <c r="H128" s="6">
        <v>1141361.31</v>
      </c>
    </row>
    <row r="129">
      <c r="B129" s="4" t="s">
        <v>337</v>
      </c>
      <c r="C129" s="4" t="s">
        <v>338</v>
      </c>
      <c r="D129" s="4" t="s">
        <v>9</v>
      </c>
      <c r="E129" s="4" t="s">
        <v>23</v>
      </c>
      <c r="F129" s="5">
        <v>3.0</v>
      </c>
      <c r="G129" s="6">
        <v>60521.45</v>
      </c>
      <c r="H129" s="6">
        <v>181564.35</v>
      </c>
    </row>
    <row r="130">
      <c r="B130" s="4" t="s">
        <v>340</v>
      </c>
      <c r="C130" s="4" t="s">
        <v>341</v>
      </c>
      <c r="D130" s="4" t="s">
        <v>9</v>
      </c>
      <c r="E130" s="4" t="s">
        <v>23</v>
      </c>
      <c r="F130" s="5">
        <v>1.0</v>
      </c>
      <c r="G130" s="6">
        <v>1647688.96</v>
      </c>
      <c r="H130" s="6">
        <v>1647688.96</v>
      </c>
    </row>
    <row r="131">
      <c r="B131" s="4" t="s">
        <v>342</v>
      </c>
      <c r="C131" s="4" t="s">
        <v>343</v>
      </c>
      <c r="D131" s="4" t="s">
        <v>9</v>
      </c>
      <c r="E131" s="4" t="s">
        <v>23</v>
      </c>
      <c r="F131" s="5">
        <v>2.0</v>
      </c>
      <c r="G131" s="6">
        <v>102772.78</v>
      </c>
      <c r="H131" s="6">
        <v>205545.56</v>
      </c>
    </row>
    <row r="132">
      <c r="B132" s="4" t="s">
        <v>344</v>
      </c>
      <c r="C132" s="4" t="s">
        <v>345</v>
      </c>
      <c r="D132" s="4" t="s">
        <v>9</v>
      </c>
      <c r="E132" s="4" t="s">
        <v>23</v>
      </c>
      <c r="F132" s="5">
        <v>1.0</v>
      </c>
      <c r="G132" s="6">
        <v>444036.04</v>
      </c>
      <c r="H132" s="6">
        <v>444036.04</v>
      </c>
    </row>
    <row r="133">
      <c r="B133" s="4" t="s">
        <v>346</v>
      </c>
      <c r="C133" s="4" t="s">
        <v>348</v>
      </c>
      <c r="D133" s="4" t="s">
        <v>9</v>
      </c>
      <c r="E133" s="4" t="s">
        <v>23</v>
      </c>
      <c r="F133" s="5">
        <v>2.0</v>
      </c>
      <c r="G133" s="6">
        <v>289239.72</v>
      </c>
      <c r="H133" s="6">
        <v>578479.44</v>
      </c>
    </row>
    <row r="134">
      <c r="B134" s="4" t="s">
        <v>349</v>
      </c>
      <c r="C134" s="4" t="s">
        <v>350</v>
      </c>
      <c r="D134" s="4" t="s">
        <v>9</v>
      </c>
      <c r="E134" s="4" t="s">
        <v>23</v>
      </c>
      <c r="F134" s="5">
        <v>1.0</v>
      </c>
      <c r="G134" s="6">
        <v>295343.22</v>
      </c>
      <c r="H134" s="6">
        <v>295343.22</v>
      </c>
    </row>
    <row r="135">
      <c r="B135" s="4" t="s">
        <v>352</v>
      </c>
      <c r="C135" s="4" t="s">
        <v>353</v>
      </c>
      <c r="D135" s="4" t="s">
        <v>9</v>
      </c>
      <c r="E135" s="4" t="s">
        <v>23</v>
      </c>
      <c r="F135" s="5">
        <v>1.0</v>
      </c>
      <c r="G135" s="6">
        <v>757200.49</v>
      </c>
      <c r="H135" s="6">
        <v>757200.49</v>
      </c>
    </row>
    <row r="136">
      <c r="B136" s="4" t="s">
        <v>355</v>
      </c>
      <c r="C136" s="4" t="s">
        <v>356</v>
      </c>
      <c r="D136" s="4" t="s">
        <v>9</v>
      </c>
      <c r="E136" s="4" t="s">
        <v>23</v>
      </c>
      <c r="F136" s="5">
        <v>3.0</v>
      </c>
      <c r="G136" s="6">
        <v>151498.83</v>
      </c>
      <c r="H136" s="6">
        <v>454496.49</v>
      </c>
    </row>
    <row r="137">
      <c r="B137" s="4" t="s">
        <v>357</v>
      </c>
      <c r="C137" s="4" t="s">
        <v>358</v>
      </c>
      <c r="D137" s="4" t="s">
        <v>9</v>
      </c>
      <c r="E137" s="4" t="s">
        <v>23</v>
      </c>
      <c r="F137" s="5">
        <v>1.0</v>
      </c>
      <c r="G137" s="6">
        <v>442534.71</v>
      </c>
      <c r="H137" s="6">
        <v>442534.71</v>
      </c>
    </row>
    <row r="138">
      <c r="B138" s="4" t="s">
        <v>360</v>
      </c>
      <c r="C138" s="4" t="s">
        <v>361</v>
      </c>
      <c r="D138" s="4" t="s">
        <v>9</v>
      </c>
      <c r="E138" s="4" t="s">
        <v>23</v>
      </c>
      <c r="F138" s="5">
        <v>1.0</v>
      </c>
      <c r="G138" s="6">
        <v>191574.6</v>
      </c>
      <c r="H138" s="6">
        <v>191574.6</v>
      </c>
    </row>
    <row r="139">
      <c r="B139" s="4" t="s">
        <v>362</v>
      </c>
      <c r="C139" s="4" t="s">
        <v>363</v>
      </c>
      <c r="D139" s="4" t="s">
        <v>9</v>
      </c>
      <c r="E139" s="4" t="s">
        <v>23</v>
      </c>
      <c r="F139" s="5">
        <v>2.0</v>
      </c>
      <c r="G139" s="6">
        <v>432881.23</v>
      </c>
      <c r="H139" s="6">
        <v>865762.46</v>
      </c>
    </row>
    <row r="140">
      <c r="B140" s="4" t="s">
        <v>365</v>
      </c>
      <c r="C140" s="4" t="s">
        <v>366</v>
      </c>
      <c r="D140" s="4" t="s">
        <v>9</v>
      </c>
      <c r="E140" s="4" t="s">
        <v>23</v>
      </c>
      <c r="F140" s="5">
        <v>3.0</v>
      </c>
      <c r="G140" s="6">
        <v>80585.98</v>
      </c>
      <c r="H140" s="6">
        <v>241757.94</v>
      </c>
    </row>
    <row r="141">
      <c r="B141" s="4" t="s">
        <v>367</v>
      </c>
      <c r="C141" s="4" t="s">
        <v>368</v>
      </c>
      <c r="D141" s="4" t="s">
        <v>9</v>
      </c>
      <c r="E141" s="10"/>
      <c r="F141" s="5">
        <v>1.0</v>
      </c>
      <c r="G141" s="6">
        <v>245799.78</v>
      </c>
      <c r="H141" s="6">
        <v>245799.78</v>
      </c>
    </row>
    <row r="142">
      <c r="B142" s="4" t="s">
        <v>369</v>
      </c>
      <c r="C142" s="4" t="s">
        <v>370</v>
      </c>
      <c r="D142" s="4" t="s">
        <v>9</v>
      </c>
      <c r="E142" s="4" t="s">
        <v>23</v>
      </c>
      <c r="F142" s="5">
        <v>1.0</v>
      </c>
      <c r="G142" s="6">
        <v>185318.58</v>
      </c>
      <c r="H142" s="6">
        <v>185318.58</v>
      </c>
    </row>
    <row r="143">
      <c r="B143" s="4" t="s">
        <v>372</v>
      </c>
      <c r="C143" s="4" t="s">
        <v>373</v>
      </c>
      <c r="D143" s="4" t="s">
        <v>9</v>
      </c>
      <c r="E143" s="4" t="s">
        <v>23</v>
      </c>
      <c r="F143" s="5">
        <v>1.0</v>
      </c>
      <c r="G143" s="6">
        <v>284596.1</v>
      </c>
      <c r="H143" s="6">
        <v>284596.1</v>
      </c>
    </row>
    <row r="144">
      <c r="B144" s="19" t="s">
        <v>375</v>
      </c>
      <c r="C144" s="4" t="s">
        <v>377</v>
      </c>
      <c r="D144" s="4" t="s">
        <v>9</v>
      </c>
      <c r="E144" s="4" t="s">
        <v>23</v>
      </c>
      <c r="F144" s="5">
        <v>1.0</v>
      </c>
      <c r="G144" s="6">
        <v>765462.1</v>
      </c>
      <c r="H144" s="6">
        <v>765462.1</v>
      </c>
    </row>
    <row r="145">
      <c r="B145" s="4" t="s">
        <v>378</v>
      </c>
      <c r="C145" s="4" t="s">
        <v>379</v>
      </c>
      <c r="D145" s="4" t="s">
        <v>9</v>
      </c>
      <c r="E145" s="4" t="s">
        <v>23</v>
      </c>
      <c r="F145" s="5">
        <v>1.0</v>
      </c>
      <c r="G145" s="6">
        <v>212786.89</v>
      </c>
      <c r="H145" s="6">
        <v>212786.89</v>
      </c>
    </row>
    <row r="146">
      <c r="B146" s="4" t="s">
        <v>381</v>
      </c>
      <c r="C146" s="4" t="s">
        <v>382</v>
      </c>
      <c r="D146" s="4" t="s">
        <v>9</v>
      </c>
      <c r="E146" s="4" t="s">
        <v>23</v>
      </c>
      <c r="F146" s="5">
        <v>3.0</v>
      </c>
      <c r="G146" s="6">
        <v>183590.04</v>
      </c>
      <c r="H146" s="6">
        <v>550770.12</v>
      </c>
    </row>
    <row r="147">
      <c r="B147" s="4" t="s">
        <v>384</v>
      </c>
      <c r="C147" s="4" t="s">
        <v>385</v>
      </c>
      <c r="D147" s="4" t="s">
        <v>9</v>
      </c>
      <c r="E147" s="4" t="s">
        <v>23</v>
      </c>
      <c r="F147" s="5">
        <v>6.0</v>
      </c>
      <c r="G147" s="6">
        <v>55375.68</v>
      </c>
      <c r="H147" s="6">
        <v>332254.08</v>
      </c>
    </row>
    <row r="148">
      <c r="B148" s="4" t="s">
        <v>386</v>
      </c>
      <c r="C148" s="4" t="s">
        <v>387</v>
      </c>
      <c r="D148" s="4" t="s">
        <v>9</v>
      </c>
      <c r="E148" s="4" t="s">
        <v>23</v>
      </c>
      <c r="F148" s="5">
        <v>4.0</v>
      </c>
      <c r="G148" s="6">
        <v>55678.96</v>
      </c>
      <c r="H148" s="6">
        <v>222715.84</v>
      </c>
    </row>
    <row r="149">
      <c r="B149" s="4" t="s">
        <v>389</v>
      </c>
      <c r="C149" s="4" t="s">
        <v>390</v>
      </c>
      <c r="D149" s="4" t="s">
        <v>9</v>
      </c>
      <c r="E149" s="4" t="s">
        <v>23</v>
      </c>
      <c r="F149" s="5">
        <v>1.0</v>
      </c>
      <c r="G149" s="6">
        <v>870762.4</v>
      </c>
      <c r="H149" s="6">
        <v>870762.4</v>
      </c>
    </row>
    <row r="150">
      <c r="B150" s="4" t="s">
        <v>392</v>
      </c>
      <c r="C150" s="4" t="s">
        <v>393</v>
      </c>
      <c r="D150" s="4" t="s">
        <v>9</v>
      </c>
      <c r="E150" s="4" t="s">
        <v>23</v>
      </c>
      <c r="F150" s="5">
        <v>1.0</v>
      </c>
      <c r="G150" s="6">
        <v>727950.7</v>
      </c>
      <c r="H150" s="6">
        <v>727950.7</v>
      </c>
    </row>
    <row r="151">
      <c r="B151" s="4" t="s">
        <v>394</v>
      </c>
      <c r="C151" s="4" t="s">
        <v>395</v>
      </c>
      <c r="D151" s="4" t="s">
        <v>9</v>
      </c>
      <c r="E151" s="4" t="s">
        <v>173</v>
      </c>
      <c r="F151" s="5">
        <v>1.0</v>
      </c>
      <c r="G151" s="6">
        <v>490287.22</v>
      </c>
      <c r="H151" s="6">
        <v>490287.22</v>
      </c>
    </row>
    <row r="152">
      <c r="B152" s="4" t="s">
        <v>397</v>
      </c>
      <c r="C152" s="4" t="s">
        <v>398</v>
      </c>
      <c r="D152" s="4" t="s">
        <v>9</v>
      </c>
      <c r="E152" s="4" t="s">
        <v>173</v>
      </c>
      <c r="F152" s="5">
        <v>1.0</v>
      </c>
      <c r="G152" s="6">
        <v>387206.75</v>
      </c>
      <c r="H152" s="6">
        <v>387206.75</v>
      </c>
    </row>
    <row r="153">
      <c r="B153" s="4" t="s">
        <v>400</v>
      </c>
      <c r="C153" s="4" t="s">
        <v>401</v>
      </c>
      <c r="D153" s="4" t="s">
        <v>9</v>
      </c>
      <c r="E153" s="4" t="s">
        <v>23</v>
      </c>
      <c r="F153" s="5">
        <v>2.0</v>
      </c>
      <c r="G153" s="6">
        <v>173690.59</v>
      </c>
      <c r="H153" s="6">
        <v>347381.18</v>
      </c>
    </row>
    <row r="154">
      <c r="B154" s="4" t="s">
        <v>402</v>
      </c>
      <c r="C154" s="4" t="s">
        <v>403</v>
      </c>
      <c r="D154" s="4" t="s">
        <v>9</v>
      </c>
      <c r="E154" s="4" t="s">
        <v>23</v>
      </c>
      <c r="F154" s="5">
        <v>1.0</v>
      </c>
      <c r="G154" s="6">
        <v>1950391.56</v>
      </c>
      <c r="H154" s="6">
        <v>1950391.56</v>
      </c>
    </row>
    <row r="155">
      <c r="B155" s="4" t="s">
        <v>405</v>
      </c>
      <c r="C155" s="4" t="s">
        <v>406</v>
      </c>
      <c r="D155" s="4" t="s">
        <v>9</v>
      </c>
      <c r="E155" s="4" t="s">
        <v>23</v>
      </c>
      <c r="F155" s="5">
        <v>1.0</v>
      </c>
      <c r="G155" s="6">
        <v>233419.81</v>
      </c>
      <c r="H155" s="6">
        <v>233419.81</v>
      </c>
    </row>
    <row r="156">
      <c r="B156" s="4" t="s">
        <v>407</v>
      </c>
      <c r="C156" s="4" t="s">
        <v>408</v>
      </c>
      <c r="D156" s="4" t="s">
        <v>9</v>
      </c>
      <c r="E156" s="4" t="s">
        <v>23</v>
      </c>
      <c r="F156" s="5">
        <v>1.0</v>
      </c>
      <c r="G156" s="6">
        <v>308058.43</v>
      </c>
      <c r="H156" s="6">
        <v>308058.43</v>
      </c>
    </row>
    <row r="157">
      <c r="B157" s="4" t="s">
        <v>409</v>
      </c>
      <c r="C157" s="4" t="s">
        <v>410</v>
      </c>
      <c r="D157" s="4" t="s">
        <v>9</v>
      </c>
      <c r="E157" s="4" t="s">
        <v>173</v>
      </c>
      <c r="F157" s="5">
        <v>1.0</v>
      </c>
      <c r="G157" s="6">
        <v>1608429.35</v>
      </c>
      <c r="H157" s="6">
        <v>1608429.35</v>
      </c>
    </row>
    <row r="158">
      <c r="B158" s="4" t="s">
        <v>412</v>
      </c>
      <c r="C158" s="4" t="s">
        <v>413</v>
      </c>
      <c r="D158" s="4" t="s">
        <v>9</v>
      </c>
      <c r="E158" s="4" t="s">
        <v>23</v>
      </c>
      <c r="F158" s="5">
        <v>2.0</v>
      </c>
      <c r="G158" s="6">
        <v>95970.29</v>
      </c>
      <c r="H158" s="6">
        <v>191940.58</v>
      </c>
    </row>
    <row r="159">
      <c r="B159" s="19" t="s">
        <v>415</v>
      </c>
      <c r="C159" s="4" t="s">
        <v>416</v>
      </c>
      <c r="D159" s="4" t="s">
        <v>9</v>
      </c>
      <c r="E159" s="4" t="s">
        <v>23</v>
      </c>
      <c r="F159" s="5">
        <v>1.0</v>
      </c>
      <c r="G159" s="6">
        <v>2474828.34</v>
      </c>
      <c r="H159" s="6">
        <v>2474828.34</v>
      </c>
    </row>
    <row r="160">
      <c r="B160" s="4" t="s">
        <v>417</v>
      </c>
      <c r="C160" s="4" t="s">
        <v>419</v>
      </c>
      <c r="D160" s="4" t="s">
        <v>9</v>
      </c>
      <c r="E160" s="4" t="s">
        <v>173</v>
      </c>
      <c r="F160" s="5">
        <v>1.0</v>
      </c>
      <c r="G160" s="6">
        <v>617938.67</v>
      </c>
      <c r="H160" s="6">
        <v>617938.67</v>
      </c>
    </row>
    <row r="161">
      <c r="B161" s="4" t="s">
        <v>421</v>
      </c>
      <c r="C161" s="4" t="s">
        <v>422</v>
      </c>
      <c r="D161" s="4" t="s">
        <v>9</v>
      </c>
      <c r="E161" s="10"/>
      <c r="F161" s="5">
        <v>6.0</v>
      </c>
      <c r="G161" s="6">
        <v>72310.48</v>
      </c>
      <c r="H161" s="6">
        <v>433862.88</v>
      </c>
    </row>
    <row r="162">
      <c r="B162" s="4" t="s">
        <v>423</v>
      </c>
      <c r="C162" s="4" t="s">
        <v>424</v>
      </c>
      <c r="D162" s="4" t="s">
        <v>9</v>
      </c>
      <c r="E162" s="4" t="s">
        <v>23</v>
      </c>
      <c r="F162" s="5">
        <v>1.0</v>
      </c>
      <c r="G162" s="6">
        <v>224617.04</v>
      </c>
      <c r="H162" s="6">
        <v>224617.04</v>
      </c>
    </row>
    <row r="163">
      <c r="B163" s="4" t="s">
        <v>425</v>
      </c>
      <c r="C163" s="4" t="s">
        <v>426</v>
      </c>
      <c r="D163" s="4" t="s">
        <v>9</v>
      </c>
      <c r="E163" s="4" t="s">
        <v>23</v>
      </c>
      <c r="F163" s="5">
        <v>1.0</v>
      </c>
      <c r="G163" s="6">
        <v>811470.36</v>
      </c>
      <c r="H163" s="6">
        <v>811470.36</v>
      </c>
    </row>
    <row r="164">
      <c r="B164" s="4" t="s">
        <v>427</v>
      </c>
      <c r="C164" s="4" t="s">
        <v>428</v>
      </c>
      <c r="D164" s="4" t="s">
        <v>9</v>
      </c>
      <c r="E164" s="4" t="s">
        <v>23</v>
      </c>
      <c r="F164" s="5">
        <v>4.0</v>
      </c>
      <c r="G164" s="6">
        <v>1145955.03</v>
      </c>
      <c r="H164" s="6">
        <v>4583820.12</v>
      </c>
    </row>
    <row r="165">
      <c r="B165" s="4" t="s">
        <v>430</v>
      </c>
      <c r="C165" s="4" t="s">
        <v>431</v>
      </c>
      <c r="D165" s="4" t="s">
        <v>9</v>
      </c>
      <c r="E165" s="4" t="s">
        <v>23</v>
      </c>
      <c r="F165" s="5">
        <v>1.0</v>
      </c>
      <c r="G165" s="6">
        <v>815297.45</v>
      </c>
      <c r="H165" s="6">
        <v>815297.45</v>
      </c>
    </row>
    <row r="166">
      <c r="B166" s="4" t="s">
        <v>432</v>
      </c>
      <c r="C166" s="4" t="s">
        <v>433</v>
      </c>
      <c r="D166" s="4" t="s">
        <v>9</v>
      </c>
      <c r="E166" s="4" t="s">
        <v>23</v>
      </c>
      <c r="F166" s="5">
        <v>1.0</v>
      </c>
      <c r="G166" s="6">
        <v>216061.76</v>
      </c>
      <c r="H166" s="6">
        <v>216061.76</v>
      </c>
    </row>
    <row r="167">
      <c r="B167" s="4" t="s">
        <v>434</v>
      </c>
      <c r="C167" s="4" t="s">
        <v>435</v>
      </c>
      <c r="D167" s="4" t="s">
        <v>9</v>
      </c>
      <c r="E167" s="4" t="s">
        <v>173</v>
      </c>
      <c r="F167" s="5">
        <v>2.0</v>
      </c>
      <c r="G167" s="6">
        <v>198516.0</v>
      </c>
      <c r="H167" s="6">
        <v>397032.0</v>
      </c>
    </row>
    <row r="168">
      <c r="B168" s="19" t="s">
        <v>437</v>
      </c>
      <c r="C168" s="4" t="s">
        <v>439</v>
      </c>
      <c r="D168" s="4" t="s">
        <v>9</v>
      </c>
      <c r="E168" s="4" t="s">
        <v>23</v>
      </c>
      <c r="F168" s="5">
        <v>1.0</v>
      </c>
      <c r="G168" s="6">
        <v>294021.51</v>
      </c>
      <c r="H168" s="6">
        <v>294021.51</v>
      </c>
    </row>
    <row r="169">
      <c r="B169" s="4" t="s">
        <v>440</v>
      </c>
      <c r="C169" s="4" t="s">
        <v>441</v>
      </c>
      <c r="D169" s="4" t="s">
        <v>9</v>
      </c>
      <c r="E169" s="4" t="s">
        <v>10</v>
      </c>
      <c r="F169" s="5">
        <v>1.0</v>
      </c>
      <c r="G169" s="6">
        <v>1479140.0</v>
      </c>
      <c r="H169" s="6">
        <v>1479140.0</v>
      </c>
    </row>
    <row r="170">
      <c r="B170" s="4" t="s">
        <v>443</v>
      </c>
      <c r="C170" s="4" t="s">
        <v>444</v>
      </c>
      <c r="D170" s="4" t="s">
        <v>9</v>
      </c>
      <c r="E170" s="4" t="s">
        <v>23</v>
      </c>
      <c r="F170" s="5">
        <v>2.0</v>
      </c>
      <c r="G170" s="6">
        <v>316120.71</v>
      </c>
      <c r="H170" s="6">
        <v>632241.42</v>
      </c>
    </row>
    <row r="171">
      <c r="B171" s="4" t="s">
        <v>446</v>
      </c>
      <c r="C171" s="4" t="s">
        <v>447</v>
      </c>
      <c r="D171" s="4" t="s">
        <v>9</v>
      </c>
      <c r="E171" s="4" t="s">
        <v>23</v>
      </c>
      <c r="F171" s="5">
        <v>1.0</v>
      </c>
      <c r="G171" s="6">
        <v>1419361.89</v>
      </c>
      <c r="H171" s="6">
        <v>1419361.89</v>
      </c>
    </row>
    <row r="172">
      <c r="B172" s="4" t="s">
        <v>448</v>
      </c>
      <c r="C172" s="4" t="s">
        <v>449</v>
      </c>
      <c r="D172" s="4" t="s">
        <v>9</v>
      </c>
      <c r="E172" s="4" t="s">
        <v>23</v>
      </c>
      <c r="F172" s="5">
        <v>1.0</v>
      </c>
      <c r="G172" s="6">
        <v>385392.66</v>
      </c>
      <c r="H172" s="6">
        <v>385392.66</v>
      </c>
    </row>
    <row r="173">
      <c r="B173" s="4" t="s">
        <v>450</v>
      </c>
      <c r="C173" s="4" t="s">
        <v>451</v>
      </c>
      <c r="D173" s="4" t="s">
        <v>9</v>
      </c>
      <c r="E173" s="10"/>
      <c r="F173" s="5">
        <v>2.0</v>
      </c>
      <c r="G173" s="6">
        <v>411181.12</v>
      </c>
      <c r="H173" s="6">
        <v>822362.24</v>
      </c>
    </row>
    <row r="174">
      <c r="B174" s="4" t="s">
        <v>453</v>
      </c>
      <c r="C174" s="4" t="s">
        <v>454</v>
      </c>
      <c r="D174" s="4" t="s">
        <v>9</v>
      </c>
      <c r="E174" s="10"/>
      <c r="F174" s="5">
        <v>2.0</v>
      </c>
      <c r="G174" s="6">
        <v>284085.73</v>
      </c>
      <c r="H174" s="6">
        <v>568171.46</v>
      </c>
    </row>
    <row r="175">
      <c r="B175" s="4" t="s">
        <v>456</v>
      </c>
      <c r="C175" s="4" t="s">
        <v>457</v>
      </c>
      <c r="D175" s="4" t="s">
        <v>9</v>
      </c>
      <c r="E175" s="4" t="s">
        <v>23</v>
      </c>
      <c r="F175" s="5">
        <v>2.0</v>
      </c>
      <c r="G175" s="6">
        <v>180839.42</v>
      </c>
      <c r="H175" s="6">
        <v>361678.84</v>
      </c>
    </row>
    <row r="176">
      <c r="B176" s="19" t="s">
        <v>458</v>
      </c>
      <c r="C176" s="4" t="s">
        <v>460</v>
      </c>
      <c r="D176" s="4" t="s">
        <v>9</v>
      </c>
      <c r="E176" s="4" t="s">
        <v>23</v>
      </c>
      <c r="F176" s="5">
        <v>1.0</v>
      </c>
      <c r="G176" s="6">
        <v>463503.74</v>
      </c>
      <c r="H176" s="6">
        <v>463503.74</v>
      </c>
    </row>
    <row r="177">
      <c r="B177" s="19" t="s">
        <v>461</v>
      </c>
      <c r="C177" s="4" t="s">
        <v>463</v>
      </c>
      <c r="D177" s="4" t="s">
        <v>9</v>
      </c>
      <c r="E177" s="4" t="s">
        <v>23</v>
      </c>
      <c r="F177" s="5">
        <v>3.0</v>
      </c>
      <c r="G177" s="6">
        <v>1547690.5</v>
      </c>
      <c r="H177" s="6">
        <v>4643071.5</v>
      </c>
    </row>
    <row r="178">
      <c r="B178" s="19" t="s">
        <v>464</v>
      </c>
      <c r="C178" s="4" t="s">
        <v>466</v>
      </c>
      <c r="D178" s="4" t="s">
        <v>9</v>
      </c>
      <c r="E178" s="4" t="s">
        <v>173</v>
      </c>
      <c r="F178" s="5">
        <v>2.0</v>
      </c>
      <c r="G178" s="6">
        <v>256090.49</v>
      </c>
      <c r="H178" s="6">
        <v>512180.98</v>
      </c>
    </row>
    <row r="179">
      <c r="B179" s="19" t="s">
        <v>305</v>
      </c>
      <c r="C179" s="4" t="s">
        <v>469</v>
      </c>
      <c r="D179" s="4" t="s">
        <v>9</v>
      </c>
      <c r="E179" s="4" t="s">
        <v>23</v>
      </c>
      <c r="F179" s="5">
        <v>1.0</v>
      </c>
      <c r="G179" s="6">
        <v>231320.33</v>
      </c>
      <c r="H179" s="6">
        <v>231320.33</v>
      </c>
    </row>
    <row r="180">
      <c r="B180" s="4" t="s">
        <v>354</v>
      </c>
      <c r="C180" s="4" t="s">
        <v>470</v>
      </c>
      <c r="D180" s="4" t="s">
        <v>9</v>
      </c>
      <c r="E180" s="4" t="s">
        <v>23</v>
      </c>
      <c r="F180" s="5">
        <v>1.0</v>
      </c>
      <c r="G180" s="6">
        <v>697822.67</v>
      </c>
      <c r="H180" s="6">
        <v>697822.67</v>
      </c>
    </row>
    <row r="181">
      <c r="B181" s="4" t="s">
        <v>371</v>
      </c>
      <c r="C181" s="4" t="s">
        <v>472</v>
      </c>
      <c r="D181" s="4" t="s">
        <v>9</v>
      </c>
      <c r="E181" s="4" t="s">
        <v>23</v>
      </c>
      <c r="F181" s="5">
        <v>1.0</v>
      </c>
      <c r="G181" s="6">
        <v>184799.57</v>
      </c>
      <c r="H181" s="6">
        <v>184799.57</v>
      </c>
    </row>
    <row r="182">
      <c r="B182" s="4" t="s">
        <v>290</v>
      </c>
      <c r="C182" s="4" t="s">
        <v>474</v>
      </c>
      <c r="D182" s="4" t="s">
        <v>9</v>
      </c>
      <c r="E182" s="4" t="s">
        <v>23</v>
      </c>
      <c r="F182" s="5">
        <v>1.0</v>
      </c>
      <c r="G182" s="6">
        <v>953698.93</v>
      </c>
      <c r="H182" s="6">
        <v>953698.93</v>
      </c>
    </row>
    <row r="183">
      <c r="B183" s="4" t="s">
        <v>336</v>
      </c>
      <c r="C183" s="4" t="s">
        <v>475</v>
      </c>
      <c r="D183" s="4" t="s">
        <v>9</v>
      </c>
      <c r="E183" s="4" t="s">
        <v>23</v>
      </c>
      <c r="F183" s="5">
        <v>1.0</v>
      </c>
      <c r="G183" s="6">
        <v>383342.88</v>
      </c>
      <c r="H183" s="6">
        <v>383342.88</v>
      </c>
    </row>
    <row r="184">
      <c r="B184" s="4" t="s">
        <v>383</v>
      </c>
      <c r="C184" s="4" t="s">
        <v>476</v>
      </c>
      <c r="D184" s="4" t="s">
        <v>9</v>
      </c>
      <c r="E184" s="4" t="s">
        <v>173</v>
      </c>
      <c r="F184" s="5">
        <v>1.0</v>
      </c>
      <c r="G184" s="6">
        <v>395515.42</v>
      </c>
      <c r="H184" s="6">
        <v>395515.42</v>
      </c>
    </row>
    <row r="185">
      <c r="B185" s="4" t="s">
        <v>396</v>
      </c>
      <c r="C185" s="4" t="s">
        <v>477</v>
      </c>
      <c r="D185" s="4" t="s">
        <v>9</v>
      </c>
      <c r="E185" s="4" t="s">
        <v>173</v>
      </c>
      <c r="F185" s="5">
        <v>2.0</v>
      </c>
      <c r="G185" s="6">
        <v>379694.8</v>
      </c>
      <c r="H185" s="6">
        <v>759389.6</v>
      </c>
    </row>
    <row r="186">
      <c r="B186" s="4" t="s">
        <v>414</v>
      </c>
      <c r="C186" s="4" t="s">
        <v>478</v>
      </c>
      <c r="D186" s="4" t="s">
        <v>9</v>
      </c>
      <c r="E186" s="10"/>
      <c r="F186" s="5">
        <v>5.0</v>
      </c>
      <c r="G186" s="6">
        <v>200066.5</v>
      </c>
      <c r="H186" s="6">
        <v>1000332.5</v>
      </c>
    </row>
    <row r="187">
      <c r="B187" s="4" t="s">
        <v>480</v>
      </c>
      <c r="C187" s="4" t="s">
        <v>481</v>
      </c>
      <c r="D187" s="4" t="s">
        <v>9</v>
      </c>
      <c r="E187" s="4" t="s">
        <v>173</v>
      </c>
      <c r="F187" s="5">
        <v>2.0</v>
      </c>
      <c r="G187" s="6">
        <v>190827.57</v>
      </c>
      <c r="H187" s="6">
        <v>381655.14</v>
      </c>
    </row>
    <row r="188">
      <c r="B188" s="4" t="s">
        <v>429</v>
      </c>
      <c r="C188" s="4" t="s">
        <v>483</v>
      </c>
      <c r="D188" s="4" t="s">
        <v>9</v>
      </c>
      <c r="E188" s="4" t="s">
        <v>23</v>
      </c>
      <c r="F188" s="5">
        <v>6.0</v>
      </c>
      <c r="G188" s="6">
        <v>100753.1</v>
      </c>
      <c r="H188" s="6">
        <v>604518.6</v>
      </c>
    </row>
    <row r="189">
      <c r="B189" s="4" t="s">
        <v>445</v>
      </c>
      <c r="C189" s="4" t="s">
        <v>484</v>
      </c>
      <c r="D189" s="4" t="s">
        <v>9</v>
      </c>
      <c r="E189" s="4" t="s">
        <v>23</v>
      </c>
      <c r="F189" s="5">
        <v>4.0</v>
      </c>
      <c r="G189" s="6">
        <v>138059.59</v>
      </c>
      <c r="H189" s="6">
        <v>552238.36</v>
      </c>
    </row>
    <row r="190">
      <c r="B190" s="19" t="s">
        <v>485</v>
      </c>
      <c r="C190" s="4" t="s">
        <v>486</v>
      </c>
      <c r="D190" s="4" t="s">
        <v>9</v>
      </c>
      <c r="E190" s="4" t="s">
        <v>173</v>
      </c>
      <c r="F190" s="5">
        <v>1.0</v>
      </c>
      <c r="G190" s="6">
        <v>216415.55</v>
      </c>
      <c r="H190" s="6">
        <v>216415.55</v>
      </c>
    </row>
    <row r="191">
      <c r="B191" s="4" t="s">
        <v>459</v>
      </c>
      <c r="C191" s="4" t="s">
        <v>487</v>
      </c>
      <c r="D191" s="4" t="s">
        <v>9</v>
      </c>
      <c r="E191" s="4" t="s">
        <v>23</v>
      </c>
      <c r="F191" s="5">
        <v>4.0</v>
      </c>
      <c r="G191" s="6">
        <v>92824.81</v>
      </c>
      <c r="H191" s="6">
        <v>371299.24</v>
      </c>
    </row>
    <row r="192">
      <c r="B192" s="4" t="s">
        <v>468</v>
      </c>
      <c r="C192" s="4" t="s">
        <v>488</v>
      </c>
      <c r="D192" s="4" t="s">
        <v>9</v>
      </c>
      <c r="E192" s="4" t="s">
        <v>23</v>
      </c>
      <c r="F192" s="5">
        <v>5.0</v>
      </c>
      <c r="G192" s="6">
        <v>130699.75</v>
      </c>
      <c r="H192" s="6">
        <v>653498.75</v>
      </c>
    </row>
    <row r="193">
      <c r="B193" s="4" t="s">
        <v>489</v>
      </c>
      <c r="C193" s="4" t="s">
        <v>490</v>
      </c>
      <c r="D193" s="4" t="s">
        <v>491</v>
      </c>
      <c r="E193" s="4" t="s">
        <v>10</v>
      </c>
      <c r="F193" s="5">
        <v>72.0</v>
      </c>
      <c r="G193" s="6">
        <v>3000.0</v>
      </c>
      <c r="H193" s="6">
        <v>216000.0</v>
      </c>
    </row>
    <row r="194">
      <c r="B194" s="4" t="s">
        <v>492</v>
      </c>
      <c r="C194" s="4" t="s">
        <v>493</v>
      </c>
      <c r="D194" s="4" t="s">
        <v>491</v>
      </c>
      <c r="E194" s="4" t="s">
        <v>10</v>
      </c>
      <c r="F194" s="5">
        <v>171.0</v>
      </c>
      <c r="G194" s="6">
        <v>1478.02</v>
      </c>
      <c r="H194" s="6">
        <v>252741.42</v>
      </c>
    </row>
    <row r="195">
      <c r="B195" s="4" t="s">
        <v>494</v>
      </c>
      <c r="C195" s="4" t="s">
        <v>495</v>
      </c>
      <c r="D195" s="4" t="s">
        <v>491</v>
      </c>
      <c r="E195" s="4" t="s">
        <v>10</v>
      </c>
      <c r="F195" s="5">
        <v>150.0</v>
      </c>
      <c r="G195" s="6">
        <v>2690.85</v>
      </c>
      <c r="H195" s="6">
        <v>403627.5</v>
      </c>
    </row>
    <row r="196">
      <c r="B196" s="4" t="s">
        <v>496</v>
      </c>
      <c r="C196" s="4" t="s">
        <v>497</v>
      </c>
      <c r="D196" s="4" t="s">
        <v>9</v>
      </c>
      <c r="E196" s="4" t="s">
        <v>23</v>
      </c>
      <c r="F196" s="5">
        <v>2.0</v>
      </c>
      <c r="G196" s="6">
        <v>121884.21</v>
      </c>
      <c r="H196" s="6">
        <v>243768.42</v>
      </c>
    </row>
    <row r="197">
      <c r="B197" s="4" t="s">
        <v>499</v>
      </c>
      <c r="C197" s="4" t="s">
        <v>501</v>
      </c>
      <c r="D197" s="4" t="s">
        <v>9</v>
      </c>
      <c r="E197" s="4" t="s">
        <v>10</v>
      </c>
      <c r="F197" s="5">
        <v>85.0</v>
      </c>
      <c r="G197" s="6">
        <v>4369.32</v>
      </c>
      <c r="H197" s="6">
        <v>371392.2</v>
      </c>
    </row>
    <row r="198">
      <c r="B198" s="4" t="s">
        <v>502</v>
      </c>
      <c r="C198" s="4" t="s">
        <v>503</v>
      </c>
      <c r="D198" s="4" t="s">
        <v>491</v>
      </c>
      <c r="E198" s="4" t="s">
        <v>10</v>
      </c>
      <c r="F198" s="5">
        <v>100.0</v>
      </c>
      <c r="G198" s="6">
        <v>1994.68</v>
      </c>
      <c r="H198" s="6">
        <v>199468.0</v>
      </c>
    </row>
    <row r="199">
      <c r="B199" s="4" t="s">
        <v>504</v>
      </c>
      <c r="C199" s="4" t="s">
        <v>505</v>
      </c>
      <c r="D199" s="4" t="s">
        <v>491</v>
      </c>
      <c r="E199" s="4" t="s">
        <v>10</v>
      </c>
      <c r="F199" s="5">
        <v>96.0</v>
      </c>
      <c r="G199" s="6">
        <v>3100.0</v>
      </c>
      <c r="H199" s="6">
        <v>297600.0</v>
      </c>
    </row>
    <row r="200">
      <c r="B200" s="4" t="s">
        <v>323</v>
      </c>
      <c r="C200" s="4" t="s">
        <v>506</v>
      </c>
      <c r="D200" s="4" t="s">
        <v>9</v>
      </c>
      <c r="E200" s="4" t="s">
        <v>23</v>
      </c>
      <c r="F200" s="5">
        <v>1.0</v>
      </c>
      <c r="G200" s="6">
        <v>572958.41</v>
      </c>
      <c r="H200" s="6">
        <v>572958.41</v>
      </c>
    </row>
    <row r="201">
      <c r="B201" s="4" t="s">
        <v>507</v>
      </c>
      <c r="C201" s="4" t="s">
        <v>508</v>
      </c>
      <c r="D201" s="4" t="s">
        <v>491</v>
      </c>
      <c r="E201" s="4" t="s">
        <v>10</v>
      </c>
      <c r="F201" s="5">
        <v>154.0</v>
      </c>
      <c r="G201" s="6">
        <v>5314.77</v>
      </c>
      <c r="H201" s="6">
        <v>818474.58</v>
      </c>
    </row>
    <row r="202">
      <c r="B202" s="4" t="s">
        <v>509</v>
      </c>
      <c r="C202" s="4" t="s">
        <v>511</v>
      </c>
      <c r="D202" s="4" t="s">
        <v>9</v>
      </c>
      <c r="E202" s="4" t="s">
        <v>23</v>
      </c>
      <c r="F202" s="5">
        <v>4.0</v>
      </c>
      <c r="G202" s="6">
        <v>51399.57</v>
      </c>
      <c r="H202" s="6">
        <v>205598.28</v>
      </c>
    </row>
    <row r="203">
      <c r="B203" s="4" t="s">
        <v>512</v>
      </c>
      <c r="C203" s="4" t="s">
        <v>513</v>
      </c>
      <c r="D203" s="4" t="s">
        <v>9</v>
      </c>
      <c r="E203" s="4" t="s">
        <v>10</v>
      </c>
      <c r="F203" s="5">
        <v>51.0</v>
      </c>
      <c r="G203" s="6">
        <v>10715.81</v>
      </c>
      <c r="H203" s="6">
        <v>546506.31</v>
      </c>
    </row>
    <row r="204">
      <c r="B204" s="4" t="s">
        <v>515</v>
      </c>
      <c r="C204" s="4" t="s">
        <v>516</v>
      </c>
      <c r="D204" s="4" t="s">
        <v>9</v>
      </c>
      <c r="E204" s="4" t="s">
        <v>10</v>
      </c>
      <c r="F204" s="5">
        <v>18.0</v>
      </c>
      <c r="G204" s="6">
        <v>13630.0</v>
      </c>
      <c r="H204" s="6">
        <v>245340.0</v>
      </c>
    </row>
    <row r="205">
      <c r="B205" s="19" t="s">
        <v>518</v>
      </c>
      <c r="C205" s="4" t="s">
        <v>519</v>
      </c>
      <c r="D205" s="4" t="s">
        <v>9</v>
      </c>
      <c r="E205" s="4" t="s">
        <v>23</v>
      </c>
      <c r="F205" s="5">
        <v>2.0</v>
      </c>
      <c r="G205" s="6">
        <v>105585.35</v>
      </c>
      <c r="H205" s="6">
        <v>211170.7</v>
      </c>
    </row>
    <row r="206">
      <c r="B206" s="4" t="s">
        <v>520</v>
      </c>
      <c r="C206" s="4" t="s">
        <v>521</v>
      </c>
      <c r="D206" s="4" t="s">
        <v>9</v>
      </c>
      <c r="E206" s="4" t="s">
        <v>23</v>
      </c>
      <c r="F206" s="5">
        <v>1.0</v>
      </c>
      <c r="G206" s="6">
        <v>593132.15</v>
      </c>
      <c r="H206" s="6">
        <v>593132.15</v>
      </c>
    </row>
    <row r="207">
      <c r="B207" s="4" t="s">
        <v>522</v>
      </c>
      <c r="C207" s="4" t="s">
        <v>523</v>
      </c>
      <c r="D207" s="4" t="s">
        <v>9</v>
      </c>
      <c r="E207" s="4" t="s">
        <v>23</v>
      </c>
      <c r="F207" s="5">
        <v>1.0</v>
      </c>
      <c r="G207" s="6">
        <v>220566.92</v>
      </c>
      <c r="H207" s="6">
        <v>220566.92</v>
      </c>
    </row>
    <row r="208">
      <c r="B208" s="4" t="s">
        <v>526</v>
      </c>
      <c r="C208" s="4" t="s">
        <v>527</v>
      </c>
      <c r="D208" s="4" t="s">
        <v>9</v>
      </c>
      <c r="E208" s="4" t="s">
        <v>23</v>
      </c>
      <c r="F208" s="5">
        <v>1.0</v>
      </c>
      <c r="G208" s="6">
        <v>325406.9</v>
      </c>
      <c r="H208" s="6">
        <v>325406.9</v>
      </c>
    </row>
    <row r="209">
      <c r="B209" s="4" t="s">
        <v>528</v>
      </c>
      <c r="C209" s="4" t="s">
        <v>529</v>
      </c>
      <c r="D209" s="4" t="s">
        <v>9</v>
      </c>
      <c r="E209" s="10"/>
      <c r="F209" s="5">
        <v>10.0</v>
      </c>
      <c r="G209" s="6">
        <v>34849.58</v>
      </c>
      <c r="H209" s="6">
        <v>348495.8</v>
      </c>
    </row>
    <row r="210">
      <c r="B210" s="4" t="s">
        <v>530</v>
      </c>
      <c r="C210" s="4" t="s">
        <v>531</v>
      </c>
      <c r="D210" s="4" t="s">
        <v>9</v>
      </c>
      <c r="E210" s="10"/>
      <c r="F210" s="5">
        <v>2.0</v>
      </c>
      <c r="G210" s="6">
        <v>326697.86</v>
      </c>
      <c r="H210" s="6">
        <v>653395.72</v>
      </c>
    </row>
    <row r="211">
      <c r="B211" s="4" t="s">
        <v>533</v>
      </c>
      <c r="C211" s="4" t="s">
        <v>534</v>
      </c>
      <c r="D211" s="4" t="s">
        <v>491</v>
      </c>
      <c r="E211" s="4" t="s">
        <v>10</v>
      </c>
      <c r="F211" s="5">
        <v>59.0</v>
      </c>
      <c r="G211" s="6">
        <v>3519.14</v>
      </c>
      <c r="H211" s="6">
        <v>207629.26</v>
      </c>
    </row>
    <row r="212">
      <c r="B212" s="4" t="s">
        <v>535</v>
      </c>
      <c r="C212" s="4" t="s">
        <v>536</v>
      </c>
      <c r="D212" s="4" t="s">
        <v>9</v>
      </c>
      <c r="E212" s="4" t="s">
        <v>23</v>
      </c>
      <c r="F212" s="5">
        <v>1.0</v>
      </c>
      <c r="G212" s="6">
        <v>182889.62</v>
      </c>
      <c r="H212" s="6">
        <v>182889.62</v>
      </c>
    </row>
    <row r="213">
      <c r="B213" s="4" t="s">
        <v>537</v>
      </c>
      <c r="C213" s="4" t="s">
        <v>538</v>
      </c>
      <c r="D213" s="4" t="s">
        <v>9</v>
      </c>
      <c r="E213" s="4" t="s">
        <v>23</v>
      </c>
      <c r="F213" s="5">
        <v>1.0</v>
      </c>
      <c r="G213" s="6">
        <v>707434.07</v>
      </c>
      <c r="H213" s="6">
        <v>707434.07</v>
      </c>
    </row>
    <row r="214">
      <c r="B214" s="4" t="s">
        <v>540</v>
      </c>
      <c r="C214" s="4" t="s">
        <v>541</v>
      </c>
      <c r="D214" s="4" t="s">
        <v>491</v>
      </c>
      <c r="E214" s="4" t="s">
        <v>10</v>
      </c>
      <c r="F214" s="5">
        <v>50.0</v>
      </c>
      <c r="G214" s="6">
        <v>7319.66</v>
      </c>
      <c r="H214" s="6">
        <v>365983.0</v>
      </c>
    </row>
    <row r="215">
      <c r="B215" s="4" t="s">
        <v>542</v>
      </c>
      <c r="C215" s="4" t="s">
        <v>543</v>
      </c>
      <c r="D215" s="4" t="s">
        <v>491</v>
      </c>
      <c r="E215" s="4" t="s">
        <v>10</v>
      </c>
      <c r="F215" s="5">
        <v>400.0</v>
      </c>
      <c r="G215" s="6">
        <v>1066.44</v>
      </c>
      <c r="H215" s="6">
        <v>426576.0</v>
      </c>
    </row>
    <row r="216">
      <c r="B216" s="4" t="s">
        <v>545</v>
      </c>
      <c r="C216" s="4" t="s">
        <v>546</v>
      </c>
      <c r="D216" s="4" t="s">
        <v>491</v>
      </c>
      <c r="E216" s="4" t="s">
        <v>10</v>
      </c>
      <c r="F216" s="5">
        <v>800.0</v>
      </c>
      <c r="G216" s="5">
        <v>579.41</v>
      </c>
      <c r="H216" s="6">
        <v>463528.0</v>
      </c>
    </row>
    <row r="217">
      <c r="B217" s="4" t="s">
        <v>547</v>
      </c>
      <c r="C217" s="4" t="s">
        <v>548</v>
      </c>
      <c r="D217" s="4" t="s">
        <v>491</v>
      </c>
      <c r="E217" s="4" t="s">
        <v>10</v>
      </c>
      <c r="F217" s="5">
        <v>900.0</v>
      </c>
      <c r="G217" s="5">
        <v>493.56</v>
      </c>
      <c r="H217" s="6">
        <v>444204.0</v>
      </c>
    </row>
    <row r="218">
      <c r="B218" s="4" t="s">
        <v>549</v>
      </c>
      <c r="C218" s="4" t="s">
        <v>550</v>
      </c>
      <c r="D218" s="4" t="s">
        <v>491</v>
      </c>
      <c r="E218" s="4" t="s">
        <v>10</v>
      </c>
      <c r="F218" s="5">
        <v>300.0</v>
      </c>
      <c r="G218" s="5">
        <v>861.36</v>
      </c>
      <c r="H218" s="6">
        <v>258408.0</v>
      </c>
    </row>
    <row r="219">
      <c r="B219" s="4" t="s">
        <v>552</v>
      </c>
      <c r="C219" s="4" t="s">
        <v>553</v>
      </c>
      <c r="D219" s="4" t="s">
        <v>491</v>
      </c>
      <c r="E219" s="4" t="s">
        <v>10</v>
      </c>
      <c r="F219" s="5">
        <v>700.0</v>
      </c>
      <c r="G219" s="5">
        <v>564.92</v>
      </c>
      <c r="H219" s="6">
        <v>395444.0</v>
      </c>
    </row>
    <row r="220">
      <c r="B220" s="4" t="s">
        <v>554</v>
      </c>
      <c r="C220" s="4" t="s">
        <v>555</v>
      </c>
      <c r="D220" s="4" t="s">
        <v>9</v>
      </c>
      <c r="E220" s="4" t="s">
        <v>23</v>
      </c>
      <c r="F220" s="5">
        <v>3.0</v>
      </c>
      <c r="G220" s="6">
        <v>117381.35</v>
      </c>
      <c r="H220" s="6">
        <v>352144.05</v>
      </c>
    </row>
    <row r="221">
      <c r="B221" s="4" t="s">
        <v>557</v>
      </c>
      <c r="C221" s="4" t="s">
        <v>558</v>
      </c>
      <c r="D221" s="4" t="s">
        <v>9</v>
      </c>
      <c r="E221" s="4" t="s">
        <v>10</v>
      </c>
      <c r="F221" s="5">
        <v>30.0</v>
      </c>
      <c r="G221" s="6">
        <v>29303.01</v>
      </c>
      <c r="H221" s="6">
        <v>879090.3</v>
      </c>
    </row>
    <row r="222">
      <c r="B222" s="19" t="s">
        <v>559</v>
      </c>
      <c r="C222" s="4" t="s">
        <v>561</v>
      </c>
      <c r="D222" s="4" t="s">
        <v>9</v>
      </c>
      <c r="E222" s="4" t="s">
        <v>23</v>
      </c>
      <c r="F222" s="5">
        <v>2.0</v>
      </c>
      <c r="G222" s="6">
        <v>181157.28</v>
      </c>
      <c r="H222" s="6">
        <v>362314.56</v>
      </c>
    </row>
    <row r="223">
      <c r="B223" s="4" t="s">
        <v>562</v>
      </c>
      <c r="C223" s="4" t="s">
        <v>563</v>
      </c>
      <c r="D223" s="4" t="s">
        <v>9</v>
      </c>
      <c r="E223" s="4" t="s">
        <v>23</v>
      </c>
      <c r="F223" s="5">
        <v>2.0</v>
      </c>
      <c r="G223" s="6">
        <v>554306.54</v>
      </c>
      <c r="H223" s="6">
        <v>1108613.08</v>
      </c>
    </row>
    <row r="224">
      <c r="B224" s="4" t="s">
        <v>565</v>
      </c>
      <c r="C224" s="4" t="s">
        <v>566</v>
      </c>
      <c r="D224" s="4" t="s">
        <v>9</v>
      </c>
      <c r="E224" s="4" t="s">
        <v>23</v>
      </c>
      <c r="F224" s="5">
        <v>1.0</v>
      </c>
      <c r="G224" s="6">
        <v>745628.63</v>
      </c>
      <c r="H224" s="6">
        <v>745628.63</v>
      </c>
    </row>
    <row r="225">
      <c r="B225" s="4" t="s">
        <v>568</v>
      </c>
      <c r="C225" s="4" t="s">
        <v>569</v>
      </c>
      <c r="D225" s="4" t="s">
        <v>9</v>
      </c>
      <c r="E225" s="4" t="s">
        <v>23</v>
      </c>
      <c r="F225" s="5">
        <v>2.0</v>
      </c>
      <c r="G225" s="6">
        <v>107166.82</v>
      </c>
      <c r="H225" s="6">
        <v>214333.64</v>
      </c>
    </row>
    <row r="226">
      <c r="B226" s="19" t="s">
        <v>570</v>
      </c>
      <c r="C226" s="4" t="s">
        <v>571</v>
      </c>
      <c r="D226" s="4" t="s">
        <v>9</v>
      </c>
      <c r="E226" s="4" t="s">
        <v>23</v>
      </c>
      <c r="F226" s="5">
        <v>2.0</v>
      </c>
      <c r="G226" s="6">
        <v>138031.66</v>
      </c>
      <c r="H226" s="6">
        <v>276063.32</v>
      </c>
    </row>
    <row r="227">
      <c r="B227" s="4" t="s">
        <v>572</v>
      </c>
      <c r="C227" s="4" t="s">
        <v>573</v>
      </c>
      <c r="D227" s="4" t="s">
        <v>9</v>
      </c>
      <c r="E227" s="4" t="s">
        <v>173</v>
      </c>
      <c r="F227" s="5">
        <v>19.0</v>
      </c>
      <c r="G227" s="6">
        <v>25096.27</v>
      </c>
      <c r="H227" s="6">
        <v>476829.13</v>
      </c>
    </row>
    <row r="228">
      <c r="B228" s="4" t="s">
        <v>575</v>
      </c>
      <c r="C228" s="4" t="s">
        <v>576</v>
      </c>
      <c r="D228" s="4" t="s">
        <v>9</v>
      </c>
      <c r="E228" s="4" t="s">
        <v>23</v>
      </c>
      <c r="F228" s="5">
        <v>3.0</v>
      </c>
      <c r="G228" s="6">
        <v>240750.09</v>
      </c>
      <c r="H228" s="6">
        <v>722250.27</v>
      </c>
    </row>
    <row r="229">
      <c r="B229" s="4" t="s">
        <v>577</v>
      </c>
      <c r="C229" s="4" t="s">
        <v>578</v>
      </c>
      <c r="D229" s="4" t="s">
        <v>9</v>
      </c>
      <c r="E229" s="4" t="s">
        <v>173</v>
      </c>
      <c r="F229" s="5">
        <v>24.0</v>
      </c>
      <c r="G229" s="6">
        <v>19915.16</v>
      </c>
      <c r="H229" s="6">
        <v>477963.84</v>
      </c>
    </row>
    <row r="230">
      <c r="B230" s="19" t="s">
        <v>579</v>
      </c>
      <c r="C230" s="4" t="s">
        <v>582</v>
      </c>
      <c r="D230" s="4" t="s">
        <v>9</v>
      </c>
      <c r="E230" s="4" t="s">
        <v>10</v>
      </c>
      <c r="F230" s="5">
        <v>1.0</v>
      </c>
      <c r="G230" s="6">
        <v>280962.86</v>
      </c>
      <c r="H230" s="6">
        <v>280962.86</v>
      </c>
    </row>
    <row r="231">
      <c r="B231" s="4" t="s">
        <v>583</v>
      </c>
      <c r="C231" s="4" t="s">
        <v>584</v>
      </c>
      <c r="D231" s="4" t="s">
        <v>9</v>
      </c>
      <c r="E231" s="4" t="s">
        <v>23</v>
      </c>
      <c r="F231" s="5">
        <v>4.0</v>
      </c>
      <c r="G231" s="6">
        <v>66017.64</v>
      </c>
      <c r="H231" s="6">
        <v>264070.56</v>
      </c>
    </row>
    <row r="232">
      <c r="B232" s="4" t="s">
        <v>585</v>
      </c>
      <c r="C232" s="4" t="s">
        <v>586</v>
      </c>
      <c r="D232" s="4" t="s">
        <v>9</v>
      </c>
      <c r="E232" s="4" t="s">
        <v>23</v>
      </c>
      <c r="F232" s="5">
        <v>2.0</v>
      </c>
      <c r="G232" s="6">
        <v>95827.33</v>
      </c>
      <c r="H232" s="6">
        <v>191654.66</v>
      </c>
    </row>
    <row r="233">
      <c r="B233" s="4" t="s">
        <v>587</v>
      </c>
      <c r="C233" s="4" t="s">
        <v>588</v>
      </c>
      <c r="D233" s="4" t="s">
        <v>9</v>
      </c>
      <c r="E233" s="10"/>
      <c r="F233" s="5">
        <v>1.0</v>
      </c>
      <c r="G233" s="6">
        <v>211332.26</v>
      </c>
      <c r="H233" s="6">
        <v>211332.26</v>
      </c>
    </row>
    <row r="234">
      <c r="B234" s="4" t="s">
        <v>590</v>
      </c>
      <c r="C234" s="4" t="s">
        <v>591</v>
      </c>
      <c r="D234" s="4" t="s">
        <v>9</v>
      </c>
      <c r="E234" s="4" t="s">
        <v>23</v>
      </c>
      <c r="F234" s="5">
        <v>1.0</v>
      </c>
      <c r="G234" s="6">
        <v>338652.19</v>
      </c>
      <c r="H234" s="6">
        <v>338652.19</v>
      </c>
    </row>
    <row r="235">
      <c r="B235" s="4" t="s">
        <v>592</v>
      </c>
      <c r="C235" s="4" t="s">
        <v>593</v>
      </c>
      <c r="D235" s="4" t="s">
        <v>9</v>
      </c>
      <c r="E235" s="4" t="s">
        <v>23</v>
      </c>
      <c r="F235" s="5">
        <v>4.0</v>
      </c>
      <c r="G235" s="6">
        <v>44963.5</v>
      </c>
      <c r="H235" s="6">
        <v>179854.0</v>
      </c>
    </row>
    <row r="236">
      <c r="B236" s="4" t="s">
        <v>594</v>
      </c>
      <c r="C236" s="4" t="s">
        <v>595</v>
      </c>
      <c r="D236" s="4" t="s">
        <v>9</v>
      </c>
      <c r="E236" s="4" t="s">
        <v>23</v>
      </c>
      <c r="F236" s="5">
        <v>4.0</v>
      </c>
      <c r="G236" s="6">
        <v>44204.68</v>
      </c>
      <c r="H236" s="6">
        <v>176818.72</v>
      </c>
    </row>
    <row r="237">
      <c r="B237" s="19" t="s">
        <v>597</v>
      </c>
      <c r="C237" s="4" t="s">
        <v>599</v>
      </c>
      <c r="D237" s="4" t="s">
        <v>9</v>
      </c>
      <c r="E237" s="4" t="s">
        <v>23</v>
      </c>
      <c r="F237" s="5">
        <v>1.0</v>
      </c>
      <c r="G237" s="6">
        <v>400218.76</v>
      </c>
      <c r="H237" s="6">
        <v>400218.76</v>
      </c>
    </row>
    <row r="238">
      <c r="B238" s="19" t="s">
        <v>600</v>
      </c>
      <c r="C238" s="4" t="s">
        <v>601</v>
      </c>
      <c r="D238" s="4" t="s">
        <v>9</v>
      </c>
      <c r="E238" s="4" t="s">
        <v>23</v>
      </c>
      <c r="F238" s="5">
        <v>2.0</v>
      </c>
      <c r="G238" s="6">
        <v>160359.48</v>
      </c>
      <c r="H238" s="6">
        <v>320718.96</v>
      </c>
    </row>
    <row r="239">
      <c r="B239" s="4" t="s">
        <v>602</v>
      </c>
      <c r="C239" s="4" t="s">
        <v>603</v>
      </c>
      <c r="D239" s="4" t="s">
        <v>9</v>
      </c>
      <c r="E239" s="4" t="s">
        <v>23</v>
      </c>
      <c r="F239" s="5">
        <v>2.0</v>
      </c>
      <c r="G239" s="6">
        <v>100023.76</v>
      </c>
      <c r="H239" s="6">
        <v>200047.52</v>
      </c>
    </row>
    <row r="240">
      <c r="B240" s="4" t="s">
        <v>605</v>
      </c>
      <c r="C240" s="4" t="s">
        <v>606</v>
      </c>
      <c r="D240" s="4" t="s">
        <v>9</v>
      </c>
      <c r="E240" s="4" t="s">
        <v>23</v>
      </c>
      <c r="F240" s="5">
        <v>3.0</v>
      </c>
      <c r="G240" s="6">
        <v>75747.51</v>
      </c>
      <c r="H240" s="6">
        <v>227242.53</v>
      </c>
    </row>
    <row r="241">
      <c r="B241" s="4" t="s">
        <v>607</v>
      </c>
      <c r="C241" s="4" t="s">
        <v>608</v>
      </c>
      <c r="D241" s="4" t="s">
        <v>9</v>
      </c>
      <c r="E241" s="4" t="s">
        <v>23</v>
      </c>
      <c r="F241" s="5">
        <v>2.0</v>
      </c>
      <c r="G241" s="6">
        <v>333618.58</v>
      </c>
      <c r="H241" s="6">
        <v>667237.16</v>
      </c>
    </row>
    <row r="242">
      <c r="B242" s="4" t="s">
        <v>609</v>
      </c>
      <c r="C242" s="4" t="s">
        <v>610</v>
      </c>
      <c r="D242" s="4" t="s">
        <v>9</v>
      </c>
      <c r="E242" s="4" t="s">
        <v>23</v>
      </c>
      <c r="F242" s="5">
        <v>40.0</v>
      </c>
      <c r="G242" s="6">
        <v>8377.06</v>
      </c>
      <c r="H242" s="6">
        <v>335082.4</v>
      </c>
    </row>
    <row r="243">
      <c r="B243" s="4" t="s">
        <v>611</v>
      </c>
      <c r="C243" s="4" t="s">
        <v>612</v>
      </c>
      <c r="D243" s="4" t="s">
        <v>9</v>
      </c>
      <c r="E243" s="4" t="s">
        <v>23</v>
      </c>
      <c r="F243" s="5">
        <v>2.0</v>
      </c>
      <c r="G243" s="6">
        <v>109744.65</v>
      </c>
      <c r="H243" s="6">
        <v>219489.3</v>
      </c>
    </row>
    <row r="244">
      <c r="B244" s="4" t="s">
        <v>615</v>
      </c>
      <c r="C244" s="4" t="s">
        <v>616</v>
      </c>
      <c r="D244" s="4" t="s">
        <v>9</v>
      </c>
      <c r="E244" s="10"/>
      <c r="F244" s="5">
        <v>4.0</v>
      </c>
      <c r="G244" s="6">
        <v>69993.9</v>
      </c>
      <c r="H244" s="6">
        <v>279975.6</v>
      </c>
    </row>
    <row r="245">
      <c r="B245" s="4" t="s">
        <v>617</v>
      </c>
      <c r="C245" s="4" t="s">
        <v>618</v>
      </c>
      <c r="D245" s="4" t="s">
        <v>9</v>
      </c>
      <c r="E245" s="4" t="s">
        <v>23</v>
      </c>
      <c r="F245" s="5">
        <v>15.0</v>
      </c>
      <c r="G245" s="6">
        <v>12412.15</v>
      </c>
      <c r="H245" s="6">
        <v>186182.25</v>
      </c>
    </row>
    <row r="246">
      <c r="B246" s="4" t="s">
        <v>619</v>
      </c>
      <c r="C246" s="4" t="s">
        <v>620</v>
      </c>
      <c r="D246" s="4" t="s">
        <v>9</v>
      </c>
      <c r="E246" s="4" t="s">
        <v>23</v>
      </c>
      <c r="F246" s="5">
        <v>11.0</v>
      </c>
      <c r="G246" s="6">
        <v>19307.78</v>
      </c>
      <c r="H246" s="6">
        <v>212385.58</v>
      </c>
    </row>
    <row r="247">
      <c r="B247" s="4" t="s">
        <v>621</v>
      </c>
      <c r="C247" s="4" t="s">
        <v>622</v>
      </c>
      <c r="D247" s="4" t="s">
        <v>9</v>
      </c>
      <c r="E247" s="4" t="s">
        <v>23</v>
      </c>
      <c r="F247" s="5">
        <v>6.0</v>
      </c>
      <c r="G247" s="6">
        <v>39133.92</v>
      </c>
      <c r="H247" s="6">
        <v>234803.52</v>
      </c>
    </row>
    <row r="248">
      <c r="B248" s="4" t="s">
        <v>623</v>
      </c>
      <c r="C248" s="4" t="s">
        <v>624</v>
      </c>
      <c r="D248" s="4" t="s">
        <v>9</v>
      </c>
      <c r="E248" s="4" t="s">
        <v>173</v>
      </c>
      <c r="F248" s="5">
        <v>6.0</v>
      </c>
      <c r="G248" s="6">
        <v>110293.08</v>
      </c>
      <c r="H248" s="6">
        <v>661758.48</v>
      </c>
    </row>
    <row r="249">
      <c r="B249" s="19" t="s">
        <v>626</v>
      </c>
      <c r="C249" s="4" t="s">
        <v>627</v>
      </c>
      <c r="D249" s="4" t="s">
        <v>9</v>
      </c>
      <c r="E249" s="4" t="s">
        <v>23</v>
      </c>
      <c r="F249" s="5">
        <v>12.0</v>
      </c>
      <c r="G249" s="6">
        <v>29164.48</v>
      </c>
      <c r="H249" s="6">
        <v>349973.76</v>
      </c>
    </row>
    <row r="250">
      <c r="B250" s="4" t="s">
        <v>629</v>
      </c>
      <c r="C250" s="4" t="s">
        <v>630</v>
      </c>
      <c r="D250" s="4" t="s">
        <v>9</v>
      </c>
      <c r="E250" s="4" t="s">
        <v>23</v>
      </c>
      <c r="F250" s="5">
        <v>2.0</v>
      </c>
      <c r="G250" s="6">
        <v>313129.23</v>
      </c>
      <c r="H250" s="6">
        <v>626258.46</v>
      </c>
    </row>
    <row r="251">
      <c r="B251" s="4" t="s">
        <v>632</v>
      </c>
      <c r="C251" s="4" t="s">
        <v>633</v>
      </c>
      <c r="D251" s="4" t="s">
        <v>9</v>
      </c>
      <c r="E251" s="4" t="s">
        <v>23</v>
      </c>
      <c r="F251" s="5">
        <v>1.0</v>
      </c>
      <c r="G251" s="6">
        <v>335421.05</v>
      </c>
      <c r="H251" s="6">
        <v>335421.05</v>
      </c>
    </row>
    <row r="252">
      <c r="B252" s="4" t="s">
        <v>634</v>
      </c>
      <c r="C252" s="4" t="s">
        <v>635</v>
      </c>
      <c r="D252" s="4" t="s">
        <v>9</v>
      </c>
      <c r="E252" s="4" t="s">
        <v>23</v>
      </c>
      <c r="F252" s="5">
        <v>2.0</v>
      </c>
      <c r="G252" s="6">
        <v>162225.64</v>
      </c>
      <c r="H252" s="6">
        <v>324451.28</v>
      </c>
    </row>
    <row r="253">
      <c r="B253" s="4" t="s">
        <v>636</v>
      </c>
      <c r="C253" s="4" t="s">
        <v>637</v>
      </c>
      <c r="D253" s="4" t="s">
        <v>9</v>
      </c>
      <c r="E253" s="4" t="s">
        <v>23</v>
      </c>
      <c r="F253" s="5">
        <v>2.0</v>
      </c>
      <c r="G253" s="6">
        <v>133734.73</v>
      </c>
      <c r="H253" s="6">
        <v>267469.46</v>
      </c>
    </row>
    <row r="254">
      <c r="B254" s="4" t="s">
        <v>638</v>
      </c>
      <c r="C254" s="4" t="s">
        <v>639</v>
      </c>
      <c r="D254" s="4" t="s">
        <v>9</v>
      </c>
      <c r="E254" s="4" t="s">
        <v>23</v>
      </c>
      <c r="F254" s="5">
        <v>2.0</v>
      </c>
      <c r="G254" s="6">
        <v>195093.48</v>
      </c>
      <c r="H254" s="6">
        <v>390186.96</v>
      </c>
    </row>
    <row r="255">
      <c r="B255" s="4" t="s">
        <v>640</v>
      </c>
      <c r="C255" s="4" t="s">
        <v>641</v>
      </c>
      <c r="D255" s="4" t="s">
        <v>9</v>
      </c>
      <c r="E255" s="4" t="s">
        <v>23</v>
      </c>
      <c r="F255" s="5">
        <v>3.0</v>
      </c>
      <c r="G255" s="6">
        <v>159250.07</v>
      </c>
      <c r="H255" s="6">
        <v>477750.21</v>
      </c>
    </row>
    <row r="256">
      <c r="B256" s="4" t="s">
        <v>643</v>
      </c>
      <c r="C256" s="4" t="s">
        <v>645</v>
      </c>
      <c r="D256" s="4" t="s">
        <v>9</v>
      </c>
      <c r="E256" s="10"/>
      <c r="F256" s="5">
        <v>1.0</v>
      </c>
      <c r="G256" s="6">
        <v>715604.44</v>
      </c>
      <c r="H256" s="6">
        <v>715604.44</v>
      </c>
    </row>
    <row r="257">
      <c r="B257" s="4" t="s">
        <v>646</v>
      </c>
      <c r="C257" s="4" t="s">
        <v>647</v>
      </c>
      <c r="D257" s="4" t="s">
        <v>9</v>
      </c>
      <c r="E257" s="4" t="s">
        <v>23</v>
      </c>
      <c r="F257" s="5">
        <v>1.0</v>
      </c>
      <c r="G257" s="6">
        <v>323338.4</v>
      </c>
      <c r="H257" s="6">
        <v>323338.4</v>
      </c>
    </row>
    <row r="258">
      <c r="B258" s="4" t="s">
        <v>648</v>
      </c>
      <c r="C258" s="4" t="s">
        <v>649</v>
      </c>
      <c r="D258" s="4" t="s">
        <v>9</v>
      </c>
      <c r="E258" s="4" t="s">
        <v>23</v>
      </c>
      <c r="F258" s="5">
        <v>1.0</v>
      </c>
      <c r="G258" s="6">
        <v>181412.02</v>
      </c>
      <c r="H258" s="6">
        <v>181412.02</v>
      </c>
    </row>
    <row r="259">
      <c r="B259" s="4" t="s">
        <v>651</v>
      </c>
      <c r="C259" s="4" t="s">
        <v>652</v>
      </c>
      <c r="D259" s="4" t="s">
        <v>9</v>
      </c>
      <c r="E259" s="4" t="s">
        <v>23</v>
      </c>
      <c r="F259" s="5">
        <v>1.0</v>
      </c>
      <c r="G259" s="6">
        <v>305606.86</v>
      </c>
      <c r="H259" s="6">
        <v>305606.86</v>
      </c>
    </row>
    <row r="260">
      <c r="B260" s="4" t="s">
        <v>653</v>
      </c>
      <c r="C260" s="4" t="s">
        <v>654</v>
      </c>
      <c r="D260" s="4" t="s">
        <v>9</v>
      </c>
      <c r="E260" s="4" t="s">
        <v>23</v>
      </c>
      <c r="F260" s="5">
        <v>4.0</v>
      </c>
      <c r="G260" s="6">
        <v>145170.23</v>
      </c>
      <c r="H260" s="6">
        <v>580680.92</v>
      </c>
    </row>
    <row r="261">
      <c r="B261" s="4" t="s">
        <v>655</v>
      </c>
      <c r="C261" s="4" t="s">
        <v>656</v>
      </c>
      <c r="D261" s="4" t="s">
        <v>9</v>
      </c>
      <c r="E261" s="10"/>
      <c r="F261" s="5">
        <v>1.0</v>
      </c>
      <c r="G261" s="6">
        <v>264217.38</v>
      </c>
      <c r="H261" s="6">
        <v>264217.38</v>
      </c>
    </row>
    <row r="262">
      <c r="B262" s="4" t="s">
        <v>657</v>
      </c>
      <c r="C262" s="4" t="s">
        <v>658</v>
      </c>
      <c r="D262" s="4" t="s">
        <v>9</v>
      </c>
      <c r="E262" s="4" t="s">
        <v>23</v>
      </c>
      <c r="F262" s="5">
        <v>2.0</v>
      </c>
      <c r="G262" s="6">
        <v>187042.06</v>
      </c>
      <c r="H262" s="6">
        <v>374084.12</v>
      </c>
    </row>
    <row r="263">
      <c r="B263" s="4" t="s">
        <v>659</v>
      </c>
      <c r="C263" s="4" t="s">
        <v>660</v>
      </c>
      <c r="D263" s="4" t="s">
        <v>9</v>
      </c>
      <c r="E263" s="4" t="s">
        <v>23</v>
      </c>
      <c r="F263" s="5">
        <v>52.5</v>
      </c>
      <c r="G263" s="6">
        <v>7251.4</v>
      </c>
      <c r="H263" s="6">
        <v>380698.5</v>
      </c>
    </row>
    <row r="264">
      <c r="B264" s="4" t="s">
        <v>662</v>
      </c>
      <c r="C264" s="4" t="s">
        <v>663</v>
      </c>
      <c r="D264" s="4" t="s">
        <v>9</v>
      </c>
      <c r="E264" s="4" t="s">
        <v>23</v>
      </c>
      <c r="F264" s="5">
        <v>12.0</v>
      </c>
      <c r="G264" s="6">
        <v>22091.51</v>
      </c>
      <c r="H264" s="6">
        <v>265098.12</v>
      </c>
    </row>
    <row r="265">
      <c r="B265" s="4" t="s">
        <v>664</v>
      </c>
      <c r="C265" s="4" t="s">
        <v>665</v>
      </c>
      <c r="D265" s="4" t="s">
        <v>9</v>
      </c>
      <c r="E265" s="4" t="s">
        <v>23</v>
      </c>
      <c r="F265" s="5">
        <v>13.0</v>
      </c>
      <c r="G265" s="6">
        <v>16058.09</v>
      </c>
      <c r="H265" s="6">
        <v>208755.17</v>
      </c>
    </row>
    <row r="266">
      <c r="B266" s="4" t="s">
        <v>666</v>
      </c>
      <c r="C266" s="4" t="s">
        <v>667</v>
      </c>
      <c r="D266" s="4" t="s">
        <v>9</v>
      </c>
      <c r="E266" s="4" t="s">
        <v>23</v>
      </c>
      <c r="F266" s="5">
        <v>6.0</v>
      </c>
      <c r="G266" s="6">
        <v>56947.8</v>
      </c>
      <c r="H266" s="6">
        <v>341686.8</v>
      </c>
    </row>
    <row r="267">
      <c r="B267" s="4" t="s">
        <v>668</v>
      </c>
      <c r="C267" s="4" t="s">
        <v>670</v>
      </c>
      <c r="D267" s="4" t="s">
        <v>9</v>
      </c>
      <c r="E267" s="10"/>
      <c r="F267" s="5">
        <v>2.0</v>
      </c>
      <c r="G267" s="6">
        <v>187520.87</v>
      </c>
      <c r="H267" s="6">
        <v>375041.74</v>
      </c>
    </row>
    <row r="268">
      <c r="B268" s="4" t="s">
        <v>671</v>
      </c>
      <c r="C268" s="4" t="s">
        <v>672</v>
      </c>
      <c r="D268" s="4" t="s">
        <v>9</v>
      </c>
      <c r="E268" s="4" t="s">
        <v>23</v>
      </c>
      <c r="F268" s="5">
        <v>51.0</v>
      </c>
      <c r="G268" s="6">
        <v>13402.82</v>
      </c>
      <c r="H268" s="6">
        <v>683543.82</v>
      </c>
    </row>
    <row r="269">
      <c r="B269" s="4" t="s">
        <v>673</v>
      </c>
      <c r="C269" s="4" t="s">
        <v>674</v>
      </c>
      <c r="D269" s="4" t="s">
        <v>9</v>
      </c>
      <c r="E269" s="4" t="s">
        <v>23</v>
      </c>
      <c r="F269" s="5">
        <v>2.0</v>
      </c>
      <c r="G269" s="6">
        <v>246647.54</v>
      </c>
      <c r="H269" s="6">
        <v>493295.08</v>
      </c>
    </row>
    <row r="270">
      <c r="B270" s="4" t="s">
        <v>675</v>
      </c>
      <c r="C270" s="4" t="s">
        <v>676</v>
      </c>
      <c r="D270" s="4" t="s">
        <v>9</v>
      </c>
      <c r="E270" s="4" t="s">
        <v>10</v>
      </c>
      <c r="F270" s="5">
        <v>26.0</v>
      </c>
      <c r="G270" s="6">
        <v>8859.63</v>
      </c>
      <c r="H270" s="6">
        <v>230350.38</v>
      </c>
    </row>
    <row r="271">
      <c r="B271" s="4" t="s">
        <v>679</v>
      </c>
      <c r="C271" s="4" t="s">
        <v>680</v>
      </c>
      <c r="D271" s="4" t="s">
        <v>9</v>
      </c>
      <c r="E271" s="4" t="s">
        <v>10</v>
      </c>
      <c r="F271" s="5">
        <v>44.0</v>
      </c>
      <c r="G271" s="6">
        <v>14708.73</v>
      </c>
      <c r="H271" s="6">
        <v>647184.12</v>
      </c>
    </row>
    <row r="272">
      <c r="B272" s="4" t="s">
        <v>681</v>
      </c>
      <c r="C272" s="4" t="s">
        <v>682</v>
      </c>
      <c r="D272" s="4" t="s">
        <v>9</v>
      </c>
      <c r="E272" s="10"/>
      <c r="F272" s="5">
        <v>2.0</v>
      </c>
      <c r="G272" s="6">
        <v>442539.87</v>
      </c>
      <c r="H272" s="6">
        <v>885079.74</v>
      </c>
    </row>
    <row r="273">
      <c r="B273" s="4" t="s">
        <v>683</v>
      </c>
      <c r="C273" s="4" t="s">
        <v>684</v>
      </c>
      <c r="D273" s="4" t="s">
        <v>9</v>
      </c>
      <c r="E273" s="4" t="s">
        <v>10</v>
      </c>
      <c r="F273" s="5">
        <v>6.0</v>
      </c>
      <c r="G273" s="6">
        <v>29400.0</v>
      </c>
      <c r="H273" s="6">
        <v>176400.0</v>
      </c>
    </row>
    <row r="274">
      <c r="B274" s="4" t="s">
        <v>685</v>
      </c>
      <c r="C274" s="4" t="s">
        <v>686</v>
      </c>
      <c r="D274" s="4" t="s">
        <v>9</v>
      </c>
      <c r="E274" s="4" t="s">
        <v>10</v>
      </c>
      <c r="F274" s="5">
        <v>21.0</v>
      </c>
      <c r="G274" s="6">
        <v>11340.0</v>
      </c>
      <c r="H274" s="6">
        <v>238140.0</v>
      </c>
    </row>
    <row r="275">
      <c r="B275" s="4" t="s">
        <v>687</v>
      </c>
      <c r="C275" s="4" t="s">
        <v>688</v>
      </c>
      <c r="D275" s="4" t="s">
        <v>9</v>
      </c>
      <c r="E275" s="4" t="s">
        <v>10</v>
      </c>
      <c r="F275" s="5">
        <v>34.0</v>
      </c>
      <c r="G275" s="6">
        <v>7784.47</v>
      </c>
      <c r="H275" s="6">
        <v>264671.98</v>
      </c>
    </row>
    <row r="276">
      <c r="B276" s="4" t="s">
        <v>689</v>
      </c>
      <c r="C276" s="4" t="s">
        <v>690</v>
      </c>
      <c r="D276" s="4" t="s">
        <v>9</v>
      </c>
      <c r="E276" s="4" t="s">
        <v>23</v>
      </c>
      <c r="F276" s="5">
        <v>1.0</v>
      </c>
      <c r="G276" s="6">
        <v>1133797.1</v>
      </c>
      <c r="H276" s="6">
        <v>1133797.1</v>
      </c>
    </row>
    <row r="277">
      <c r="B277" s="4" t="s">
        <v>692</v>
      </c>
      <c r="C277" s="4" t="s">
        <v>693</v>
      </c>
      <c r="D277" s="4" t="s">
        <v>9</v>
      </c>
      <c r="E277" s="4" t="s">
        <v>23</v>
      </c>
      <c r="F277" s="5">
        <v>12.0</v>
      </c>
      <c r="G277" s="6">
        <v>28960.66</v>
      </c>
      <c r="H277" s="6">
        <v>347527.92</v>
      </c>
    </row>
    <row r="278">
      <c r="B278" s="4" t="s">
        <v>695</v>
      </c>
      <c r="C278" s="4" t="s">
        <v>696</v>
      </c>
      <c r="D278" s="4" t="s">
        <v>9</v>
      </c>
      <c r="E278" s="10"/>
      <c r="F278" s="5">
        <v>44.0</v>
      </c>
      <c r="G278" s="6">
        <v>5893.12</v>
      </c>
      <c r="H278" s="6">
        <v>259297.28</v>
      </c>
    </row>
    <row r="279">
      <c r="B279" s="4" t="s">
        <v>697</v>
      </c>
      <c r="C279" s="4" t="s">
        <v>698</v>
      </c>
      <c r="D279" s="4" t="s">
        <v>9</v>
      </c>
      <c r="E279" s="10"/>
      <c r="F279" s="5">
        <v>64.0</v>
      </c>
      <c r="G279" s="6">
        <v>6751.97</v>
      </c>
      <c r="H279" s="6">
        <v>432126.08</v>
      </c>
    </row>
    <row r="280">
      <c r="B280" s="4" t="s">
        <v>700</v>
      </c>
      <c r="C280" s="4" t="s">
        <v>701</v>
      </c>
      <c r="D280" s="4" t="s">
        <v>9</v>
      </c>
      <c r="E280" s="10"/>
      <c r="F280" s="5">
        <v>6.0</v>
      </c>
      <c r="G280" s="6">
        <v>90137.69</v>
      </c>
      <c r="H280" s="6">
        <v>540826.14</v>
      </c>
    </row>
    <row r="281">
      <c r="B281" s="4" t="s">
        <v>702</v>
      </c>
      <c r="C281" s="4" t="s">
        <v>703</v>
      </c>
      <c r="D281" s="4" t="s">
        <v>9</v>
      </c>
      <c r="E281" s="4" t="s">
        <v>23</v>
      </c>
      <c r="F281" s="5">
        <v>1.0</v>
      </c>
      <c r="G281" s="6">
        <v>328366.9</v>
      </c>
      <c r="H281" s="6">
        <v>328366.9</v>
      </c>
    </row>
    <row r="282">
      <c r="B282" s="4" t="s">
        <v>704</v>
      </c>
      <c r="C282" s="4" t="s">
        <v>705</v>
      </c>
      <c r="D282" s="4" t="s">
        <v>9</v>
      </c>
      <c r="E282" s="4" t="s">
        <v>23</v>
      </c>
      <c r="F282" s="5">
        <v>2.0</v>
      </c>
      <c r="G282" s="6">
        <v>310635.86</v>
      </c>
      <c r="H282" s="6">
        <v>621271.72</v>
      </c>
    </row>
    <row r="283">
      <c r="B283" s="4" t="s">
        <v>706</v>
      </c>
      <c r="C283" s="4" t="s">
        <v>707</v>
      </c>
      <c r="D283" s="4" t="s">
        <v>9</v>
      </c>
      <c r="E283" s="4" t="s">
        <v>23</v>
      </c>
      <c r="F283" s="5">
        <v>10.0</v>
      </c>
      <c r="G283" s="6">
        <v>99904.56</v>
      </c>
      <c r="H283" s="6">
        <v>999045.6</v>
      </c>
    </row>
    <row r="284">
      <c r="B284" s="4" t="s">
        <v>708</v>
      </c>
      <c r="C284" s="4" t="s">
        <v>709</v>
      </c>
      <c r="D284" s="4" t="s">
        <v>9</v>
      </c>
      <c r="E284" s="4" t="s">
        <v>23</v>
      </c>
      <c r="F284" s="5">
        <v>1.0</v>
      </c>
      <c r="G284" s="6">
        <v>325856.75</v>
      </c>
      <c r="H284" s="6">
        <v>325856.75</v>
      </c>
    </row>
    <row r="285">
      <c r="B285" s="4" t="s">
        <v>711</v>
      </c>
      <c r="C285" s="4" t="s">
        <v>712</v>
      </c>
      <c r="D285" s="4" t="s">
        <v>9</v>
      </c>
      <c r="E285" s="4" t="s">
        <v>23</v>
      </c>
      <c r="F285" s="5">
        <v>2.0</v>
      </c>
      <c r="G285" s="6">
        <v>283430.77</v>
      </c>
      <c r="H285" s="6">
        <v>566861.54</v>
      </c>
    </row>
    <row r="286">
      <c r="B286" s="4" t="s">
        <v>714</v>
      </c>
      <c r="C286" s="4" t="s">
        <v>715</v>
      </c>
      <c r="D286" s="4" t="s">
        <v>9</v>
      </c>
      <c r="E286" s="10"/>
      <c r="F286" s="5">
        <v>1.0</v>
      </c>
      <c r="G286" s="6">
        <v>1151611.69</v>
      </c>
      <c r="H286" s="6">
        <v>1151611.69</v>
      </c>
    </row>
    <row r="287">
      <c r="B287" s="4" t="s">
        <v>716</v>
      </c>
      <c r="C287" s="4" t="s">
        <v>717</v>
      </c>
      <c r="D287" s="4" t="s">
        <v>9</v>
      </c>
      <c r="E287" s="4" t="s">
        <v>23</v>
      </c>
      <c r="F287" s="5">
        <v>2.0</v>
      </c>
      <c r="G287" s="6">
        <v>145095.72</v>
      </c>
      <c r="H287" s="6">
        <v>290191.44</v>
      </c>
    </row>
    <row r="288">
      <c r="B288" s="4" t="s">
        <v>718</v>
      </c>
      <c r="C288" s="4" t="s">
        <v>720</v>
      </c>
      <c r="D288" s="4" t="s">
        <v>9</v>
      </c>
      <c r="E288" s="4" t="s">
        <v>23</v>
      </c>
      <c r="F288" s="5">
        <v>3.0</v>
      </c>
      <c r="G288" s="6">
        <v>106301.73</v>
      </c>
      <c r="H288" s="6">
        <v>318905.19</v>
      </c>
    </row>
    <row r="289">
      <c r="B289" s="19" t="s">
        <v>721</v>
      </c>
      <c r="C289" s="4" t="s">
        <v>723</v>
      </c>
      <c r="D289" s="4" t="s">
        <v>9</v>
      </c>
      <c r="E289" s="10"/>
      <c r="F289" s="5">
        <v>5.0</v>
      </c>
      <c r="G289" s="6">
        <v>53485.98</v>
      </c>
      <c r="H289" s="6">
        <v>267429.9</v>
      </c>
    </row>
    <row r="290">
      <c r="B290" s="19" t="s">
        <v>724</v>
      </c>
      <c r="C290" s="4" t="s">
        <v>726</v>
      </c>
      <c r="D290" s="4" t="s">
        <v>9</v>
      </c>
      <c r="E290" s="4" t="s">
        <v>23</v>
      </c>
      <c r="F290" s="5">
        <v>82.0</v>
      </c>
      <c r="G290" s="6">
        <v>2443.24</v>
      </c>
      <c r="H290" s="6">
        <v>200345.68</v>
      </c>
    </row>
    <row r="291">
      <c r="B291" s="19" t="s">
        <v>727</v>
      </c>
      <c r="C291" s="4" t="s">
        <v>728</v>
      </c>
      <c r="D291" s="4" t="s">
        <v>9</v>
      </c>
      <c r="E291" s="4" t="s">
        <v>23</v>
      </c>
      <c r="F291" s="5">
        <v>14.0</v>
      </c>
      <c r="G291" s="6">
        <v>41686.19</v>
      </c>
      <c r="H291" s="6">
        <v>583606.66</v>
      </c>
    </row>
    <row r="292">
      <c r="B292" s="4" t="s">
        <v>729</v>
      </c>
      <c r="C292" s="4" t="s">
        <v>730</v>
      </c>
      <c r="D292" s="4" t="s">
        <v>9</v>
      </c>
      <c r="E292" s="10"/>
      <c r="F292" s="5">
        <v>32.0</v>
      </c>
      <c r="G292" s="6">
        <v>5989.4</v>
      </c>
      <c r="H292" s="6">
        <v>191660.8</v>
      </c>
    </row>
    <row r="293">
      <c r="B293" s="4" t="s">
        <v>731</v>
      </c>
      <c r="C293" s="4" t="s">
        <v>733</v>
      </c>
      <c r="D293" s="4" t="s">
        <v>9</v>
      </c>
      <c r="E293" s="4" t="s">
        <v>173</v>
      </c>
      <c r="F293" s="5">
        <v>1.0</v>
      </c>
      <c r="G293" s="6">
        <v>196607.0</v>
      </c>
      <c r="H293" s="6">
        <v>196607.0</v>
      </c>
    </row>
    <row r="294">
      <c r="B294" s="4" t="s">
        <v>734</v>
      </c>
      <c r="C294" s="4" t="s">
        <v>735</v>
      </c>
      <c r="D294" s="4" t="s">
        <v>9</v>
      </c>
      <c r="E294" s="4" t="s">
        <v>23</v>
      </c>
      <c r="F294" s="5">
        <v>8.0</v>
      </c>
      <c r="G294" s="6">
        <v>50379.96</v>
      </c>
      <c r="H294" s="6">
        <v>403039.68</v>
      </c>
    </row>
    <row r="295">
      <c r="B295" s="4" t="s">
        <v>737</v>
      </c>
      <c r="C295" s="4" t="s">
        <v>738</v>
      </c>
      <c r="D295" s="4" t="s">
        <v>491</v>
      </c>
      <c r="E295" s="4" t="s">
        <v>23</v>
      </c>
      <c r="F295" s="5">
        <v>163.0</v>
      </c>
      <c r="G295" s="6">
        <v>1807.79</v>
      </c>
      <c r="H295" s="6">
        <v>294669.77</v>
      </c>
    </row>
    <row r="296">
      <c r="B296" s="19" t="s">
        <v>739</v>
      </c>
      <c r="C296" s="4" t="s">
        <v>740</v>
      </c>
      <c r="D296" s="4" t="s">
        <v>491</v>
      </c>
      <c r="E296" s="4" t="s">
        <v>23</v>
      </c>
      <c r="F296" s="5">
        <v>81.0</v>
      </c>
      <c r="G296" s="6">
        <v>3075.21</v>
      </c>
      <c r="H296" s="6">
        <v>249092.01</v>
      </c>
    </row>
    <row r="297">
      <c r="B297" s="19" t="s">
        <v>742</v>
      </c>
      <c r="C297" s="4" t="s">
        <v>743</v>
      </c>
      <c r="D297" s="4" t="s">
        <v>491</v>
      </c>
      <c r="E297" s="4" t="s">
        <v>23</v>
      </c>
      <c r="F297" s="5">
        <v>22.0</v>
      </c>
      <c r="G297" s="6">
        <v>15822.61</v>
      </c>
      <c r="H297" s="6">
        <v>348097.42</v>
      </c>
    </row>
    <row r="298">
      <c r="B298" s="4" t="s">
        <v>744</v>
      </c>
      <c r="C298" s="4" t="s">
        <v>745</v>
      </c>
      <c r="D298" s="4" t="s">
        <v>9</v>
      </c>
      <c r="E298" s="10"/>
      <c r="F298" s="5">
        <v>6.0</v>
      </c>
      <c r="G298" s="6">
        <v>49662.25</v>
      </c>
      <c r="H298" s="6">
        <v>297973.5</v>
      </c>
    </row>
    <row r="299">
      <c r="B299" s="19" t="s">
        <v>748</v>
      </c>
      <c r="C299" s="4" t="s">
        <v>749</v>
      </c>
      <c r="D299" s="4" t="s">
        <v>9</v>
      </c>
      <c r="E299" s="4" t="s">
        <v>23</v>
      </c>
      <c r="F299" s="5">
        <v>1.0</v>
      </c>
      <c r="G299" s="6">
        <v>362922.73</v>
      </c>
      <c r="H299" s="6">
        <v>362922.73</v>
      </c>
    </row>
    <row r="300">
      <c r="B300" s="4" t="s">
        <v>750</v>
      </c>
      <c r="C300" s="4" t="s">
        <v>751</v>
      </c>
      <c r="D300" s="4" t="s">
        <v>9</v>
      </c>
      <c r="E300" s="4" t="s">
        <v>23</v>
      </c>
      <c r="F300" s="5">
        <v>10.0</v>
      </c>
      <c r="G300" s="6">
        <v>40523.61</v>
      </c>
      <c r="H300" s="6">
        <v>405236.1</v>
      </c>
    </row>
    <row r="301">
      <c r="B301" s="4" t="s">
        <v>752</v>
      </c>
      <c r="C301" s="4" t="s">
        <v>753</v>
      </c>
      <c r="D301" s="4" t="s">
        <v>9</v>
      </c>
      <c r="E301" s="10"/>
      <c r="F301" s="5">
        <v>5.0</v>
      </c>
      <c r="G301" s="6">
        <v>35378.6</v>
      </c>
      <c r="H301" s="6">
        <v>176893.0</v>
      </c>
    </row>
    <row r="302">
      <c r="B302" s="4" t="s">
        <v>754</v>
      </c>
      <c r="C302" s="4" t="s">
        <v>755</v>
      </c>
      <c r="D302" s="4" t="s">
        <v>9</v>
      </c>
      <c r="E302" s="4" t="s">
        <v>173</v>
      </c>
      <c r="F302" s="5">
        <v>5.0</v>
      </c>
      <c r="G302" s="6">
        <v>112546.12</v>
      </c>
      <c r="H302" s="6">
        <v>562730.6</v>
      </c>
    </row>
    <row r="303">
      <c r="B303" s="4" t="s">
        <v>756</v>
      </c>
      <c r="C303" s="4" t="s">
        <v>757</v>
      </c>
      <c r="D303" s="4" t="s">
        <v>9</v>
      </c>
      <c r="E303" s="4" t="s">
        <v>173</v>
      </c>
      <c r="F303" s="5">
        <v>12.0</v>
      </c>
      <c r="G303" s="6">
        <v>70912.35</v>
      </c>
      <c r="H303" s="6">
        <v>850948.2</v>
      </c>
    </row>
    <row r="304">
      <c r="B304" s="19" t="s">
        <v>759</v>
      </c>
      <c r="C304" s="4" t="s">
        <v>761</v>
      </c>
      <c r="D304" s="4" t="s">
        <v>9</v>
      </c>
      <c r="E304" s="4" t="s">
        <v>23</v>
      </c>
      <c r="F304" s="5">
        <v>4.0</v>
      </c>
      <c r="G304" s="6">
        <v>46354.32</v>
      </c>
      <c r="H304" s="6">
        <v>185417.28</v>
      </c>
    </row>
    <row r="305">
      <c r="B305" s="4" t="s">
        <v>762</v>
      </c>
      <c r="C305" s="4" t="s">
        <v>763</v>
      </c>
      <c r="D305" s="4" t="s">
        <v>9</v>
      </c>
      <c r="E305" s="4" t="s">
        <v>23</v>
      </c>
      <c r="F305" s="5">
        <v>3.0</v>
      </c>
      <c r="G305" s="6">
        <v>501764.59</v>
      </c>
      <c r="H305" s="6">
        <v>1505293.77</v>
      </c>
    </row>
    <row r="306">
      <c r="B306" s="4" t="s">
        <v>765</v>
      </c>
      <c r="C306" s="4" t="s">
        <v>766</v>
      </c>
      <c r="D306" s="4" t="s">
        <v>9</v>
      </c>
      <c r="E306" s="4" t="s">
        <v>23</v>
      </c>
      <c r="F306" s="5">
        <v>1.0</v>
      </c>
      <c r="G306" s="6">
        <v>612745.99</v>
      </c>
      <c r="H306" s="6">
        <v>612745.99</v>
      </c>
    </row>
    <row r="307">
      <c r="B307" s="19" t="s">
        <v>767</v>
      </c>
      <c r="C307" s="4" t="s">
        <v>768</v>
      </c>
      <c r="D307" s="4" t="s">
        <v>9</v>
      </c>
      <c r="E307" s="4" t="s">
        <v>23</v>
      </c>
      <c r="F307" s="5">
        <v>8.0</v>
      </c>
      <c r="G307" s="6">
        <v>64204.63</v>
      </c>
      <c r="H307" s="6">
        <v>513637.04</v>
      </c>
    </row>
    <row r="308">
      <c r="B308" s="4" t="s">
        <v>771</v>
      </c>
      <c r="C308" s="4" t="s">
        <v>772</v>
      </c>
      <c r="D308" s="4" t="s">
        <v>9</v>
      </c>
      <c r="E308" s="4" t="s">
        <v>23</v>
      </c>
      <c r="F308" s="5">
        <v>1.0</v>
      </c>
      <c r="G308" s="6">
        <v>597255.25</v>
      </c>
      <c r="H308" s="6">
        <v>597255.25</v>
      </c>
    </row>
    <row r="309">
      <c r="B309" s="4" t="s">
        <v>773</v>
      </c>
      <c r="C309" s="4" t="s">
        <v>774</v>
      </c>
      <c r="D309" s="4" t="s">
        <v>9</v>
      </c>
      <c r="E309" s="4" t="s">
        <v>23</v>
      </c>
      <c r="F309" s="5">
        <v>1.0</v>
      </c>
      <c r="G309" s="6">
        <v>1005566.06</v>
      </c>
      <c r="H309" s="6">
        <v>1005566.06</v>
      </c>
    </row>
    <row r="310">
      <c r="B310" s="4" t="s">
        <v>775</v>
      </c>
      <c r="C310" s="4" t="s">
        <v>776</v>
      </c>
      <c r="D310" s="4" t="s">
        <v>9</v>
      </c>
      <c r="E310" s="4" t="s">
        <v>23</v>
      </c>
      <c r="F310" s="5">
        <v>1.0</v>
      </c>
      <c r="G310" s="6">
        <v>348872.56</v>
      </c>
      <c r="H310" s="6">
        <v>348872.56</v>
      </c>
    </row>
    <row r="311">
      <c r="B311" s="4" t="s">
        <v>777</v>
      </c>
      <c r="C311" s="4" t="s">
        <v>778</v>
      </c>
      <c r="D311" s="4" t="s">
        <v>9</v>
      </c>
      <c r="E311" s="4" t="s">
        <v>23</v>
      </c>
      <c r="F311" s="5">
        <v>1.0</v>
      </c>
      <c r="G311" s="6">
        <v>253322.63</v>
      </c>
      <c r="H311" s="6">
        <v>253322.63</v>
      </c>
    </row>
    <row r="312">
      <c r="B312" s="4" t="s">
        <v>780</v>
      </c>
      <c r="C312" s="4" t="s">
        <v>781</v>
      </c>
      <c r="D312" s="4" t="s">
        <v>9</v>
      </c>
      <c r="E312" s="4" t="s">
        <v>23</v>
      </c>
      <c r="F312" s="5">
        <v>30.0</v>
      </c>
      <c r="G312" s="6">
        <v>6796.32</v>
      </c>
      <c r="H312" s="6">
        <v>203889.6</v>
      </c>
    </row>
    <row r="313">
      <c r="B313" s="19" t="s">
        <v>782</v>
      </c>
      <c r="C313" s="4" t="s">
        <v>784</v>
      </c>
      <c r="D313" s="4" t="s">
        <v>9</v>
      </c>
      <c r="E313" s="4" t="s">
        <v>23</v>
      </c>
      <c r="F313" s="5">
        <v>4.0</v>
      </c>
      <c r="G313" s="6">
        <v>95735.44</v>
      </c>
      <c r="H313" s="6">
        <v>382941.76</v>
      </c>
    </row>
    <row r="314">
      <c r="B314" s="19" t="s">
        <v>785</v>
      </c>
      <c r="C314" s="4" t="s">
        <v>786</v>
      </c>
      <c r="D314" s="4" t="s">
        <v>9</v>
      </c>
      <c r="E314" s="4" t="s">
        <v>23</v>
      </c>
      <c r="F314" s="5">
        <v>12.0</v>
      </c>
      <c r="G314" s="6">
        <v>15028.03</v>
      </c>
      <c r="H314" s="6">
        <v>180336.36</v>
      </c>
    </row>
    <row r="315">
      <c r="B315" s="4" t="s">
        <v>787</v>
      </c>
      <c r="C315" s="4" t="s">
        <v>788</v>
      </c>
      <c r="D315" s="4" t="s">
        <v>491</v>
      </c>
      <c r="E315" s="4" t="s">
        <v>10</v>
      </c>
      <c r="F315" s="5">
        <v>50.0</v>
      </c>
      <c r="G315" s="6">
        <v>4900.0</v>
      </c>
      <c r="H315" s="6">
        <v>245000.0</v>
      </c>
    </row>
    <row r="316">
      <c r="B316" s="4" t="s">
        <v>790</v>
      </c>
      <c r="C316" s="4" t="s">
        <v>791</v>
      </c>
      <c r="D316" s="4" t="s">
        <v>9</v>
      </c>
      <c r="E316" s="4" t="s">
        <v>23</v>
      </c>
      <c r="F316" s="5">
        <v>1.0</v>
      </c>
      <c r="G316" s="6">
        <v>375089.1</v>
      </c>
      <c r="H316" s="6">
        <v>375089.1</v>
      </c>
    </row>
    <row r="317">
      <c r="B317" s="4" t="s">
        <v>793</v>
      </c>
      <c r="C317" s="4" t="s">
        <v>794</v>
      </c>
      <c r="D317" s="4" t="s">
        <v>9</v>
      </c>
      <c r="E317" s="4" t="s">
        <v>173</v>
      </c>
      <c r="F317" s="5">
        <v>1.0</v>
      </c>
      <c r="G317" s="6">
        <v>668069.63</v>
      </c>
      <c r="H317" s="6">
        <v>668069.63</v>
      </c>
    </row>
    <row r="318">
      <c r="B318" s="19" t="s">
        <v>795</v>
      </c>
      <c r="C318" s="4" t="s">
        <v>797</v>
      </c>
      <c r="D318" s="4" t="s">
        <v>9</v>
      </c>
      <c r="E318" s="4" t="s">
        <v>10</v>
      </c>
      <c r="F318" s="5">
        <v>1.0</v>
      </c>
      <c r="G318" s="6">
        <v>554358.0</v>
      </c>
      <c r="H318" s="6">
        <v>554358.0</v>
      </c>
    </row>
    <row r="319">
      <c r="B319" s="4" t="s">
        <v>798</v>
      </c>
      <c r="C319" s="4" t="s">
        <v>799</v>
      </c>
      <c r="D319" s="4" t="s">
        <v>9</v>
      </c>
      <c r="E319" s="4" t="s">
        <v>23</v>
      </c>
      <c r="F319" s="5">
        <v>2.0</v>
      </c>
      <c r="G319" s="6">
        <v>269212.3</v>
      </c>
      <c r="H319" s="6">
        <v>538424.6</v>
      </c>
    </row>
    <row r="320">
      <c r="B320" s="4" t="s">
        <v>800</v>
      </c>
      <c r="C320" s="4" t="s">
        <v>801</v>
      </c>
      <c r="D320" s="4" t="s">
        <v>9</v>
      </c>
      <c r="E320" s="4" t="s">
        <v>23</v>
      </c>
      <c r="F320" s="5">
        <v>1.0</v>
      </c>
      <c r="G320" s="6">
        <v>356996.17</v>
      </c>
      <c r="H320" s="6">
        <v>356996.17</v>
      </c>
    </row>
    <row r="321">
      <c r="B321" s="4" t="s">
        <v>803</v>
      </c>
      <c r="C321" s="4" t="s">
        <v>805</v>
      </c>
      <c r="D321" s="4" t="s">
        <v>9</v>
      </c>
      <c r="E321" s="4" t="s">
        <v>23</v>
      </c>
      <c r="F321" s="5">
        <v>1.0</v>
      </c>
      <c r="G321" s="6">
        <v>504871.94</v>
      </c>
      <c r="H321" s="6">
        <v>504871.94</v>
      </c>
    </row>
    <row r="322">
      <c r="B322" s="4" t="s">
        <v>806</v>
      </c>
      <c r="C322" s="4" t="s">
        <v>807</v>
      </c>
      <c r="D322" s="4" t="s">
        <v>9</v>
      </c>
      <c r="E322" s="4" t="s">
        <v>23</v>
      </c>
      <c r="F322" s="5">
        <v>1.0</v>
      </c>
      <c r="G322" s="6">
        <v>242505.14</v>
      </c>
      <c r="H322" s="6">
        <v>242505.14</v>
      </c>
    </row>
    <row r="323">
      <c r="B323" s="4" t="s">
        <v>808</v>
      </c>
      <c r="C323" s="4" t="s">
        <v>809</v>
      </c>
      <c r="D323" s="4" t="s">
        <v>9</v>
      </c>
      <c r="E323" s="4" t="s">
        <v>173</v>
      </c>
      <c r="F323" s="5">
        <v>1.0</v>
      </c>
      <c r="G323" s="6">
        <v>565288.19</v>
      </c>
      <c r="H323" s="6">
        <v>565288.19</v>
      </c>
    </row>
    <row r="324">
      <c r="B324" s="4" t="s">
        <v>811</v>
      </c>
      <c r="C324" s="4" t="s">
        <v>812</v>
      </c>
      <c r="D324" s="4" t="s">
        <v>9</v>
      </c>
      <c r="E324" s="4" t="s">
        <v>173</v>
      </c>
      <c r="F324" s="5">
        <v>1.0</v>
      </c>
      <c r="G324" s="6">
        <v>491230.25</v>
      </c>
      <c r="H324" s="6">
        <v>491230.25</v>
      </c>
    </row>
    <row r="325">
      <c r="B325" s="4" t="s">
        <v>813</v>
      </c>
      <c r="C325" s="4" t="s">
        <v>814</v>
      </c>
      <c r="D325" s="4" t="s">
        <v>9</v>
      </c>
      <c r="E325" s="4" t="s">
        <v>173</v>
      </c>
      <c r="F325" s="5">
        <v>2.0</v>
      </c>
      <c r="G325" s="6">
        <v>465363.03</v>
      </c>
      <c r="H325" s="6">
        <v>930726.06</v>
      </c>
    </row>
    <row r="326">
      <c r="B326" s="4" t="s">
        <v>815</v>
      </c>
      <c r="C326" s="4" t="s">
        <v>816</v>
      </c>
      <c r="D326" s="4" t="s">
        <v>9</v>
      </c>
      <c r="E326" s="4" t="s">
        <v>173</v>
      </c>
      <c r="F326" s="5">
        <v>19.0</v>
      </c>
      <c r="G326" s="6">
        <v>86907.78</v>
      </c>
      <c r="H326" s="6">
        <v>1651247.82</v>
      </c>
    </row>
    <row r="327">
      <c r="B327" s="4" t="s">
        <v>817</v>
      </c>
      <c r="C327" s="4" t="s">
        <v>818</v>
      </c>
      <c r="D327" s="4" t="s">
        <v>9</v>
      </c>
      <c r="E327" s="4" t="s">
        <v>173</v>
      </c>
      <c r="F327" s="5">
        <v>18.0</v>
      </c>
      <c r="G327" s="6">
        <v>22079.53</v>
      </c>
      <c r="H327" s="6">
        <v>397431.54</v>
      </c>
    </row>
    <row r="328">
      <c r="B328" s="4" t="s">
        <v>820</v>
      </c>
      <c r="C328" s="4" t="s">
        <v>821</v>
      </c>
      <c r="D328" s="4" t="s">
        <v>9</v>
      </c>
      <c r="E328" s="4" t="s">
        <v>23</v>
      </c>
      <c r="F328" s="5">
        <v>13.0</v>
      </c>
      <c r="G328" s="6">
        <v>13622.31</v>
      </c>
      <c r="H328" s="6">
        <v>177090.03</v>
      </c>
    </row>
    <row r="329">
      <c r="B329" s="4" t="s">
        <v>823</v>
      </c>
      <c r="C329" s="4" t="s">
        <v>824</v>
      </c>
      <c r="D329" s="4" t="s">
        <v>9</v>
      </c>
      <c r="E329" s="10"/>
      <c r="F329" s="5">
        <v>4.0</v>
      </c>
      <c r="G329" s="6">
        <v>122391.65</v>
      </c>
      <c r="H329" s="6">
        <v>489566.6</v>
      </c>
    </row>
    <row r="330">
      <c r="B330" s="4" t="s">
        <v>498</v>
      </c>
      <c r="C330" s="4" t="s">
        <v>825</v>
      </c>
      <c r="D330" s="4" t="s">
        <v>9</v>
      </c>
      <c r="E330" s="4" t="s">
        <v>10</v>
      </c>
      <c r="F330" s="5">
        <v>5.0</v>
      </c>
      <c r="G330" s="6">
        <v>137478.16</v>
      </c>
      <c r="H330" s="6">
        <v>687390.8</v>
      </c>
    </row>
    <row r="331">
      <c r="B331" s="4" t="s">
        <v>613</v>
      </c>
      <c r="C331" s="4" t="s">
        <v>826</v>
      </c>
      <c r="D331" s="4" t="s">
        <v>9</v>
      </c>
      <c r="E331" s="4" t="s">
        <v>10</v>
      </c>
      <c r="F331" s="5">
        <v>2.0</v>
      </c>
      <c r="G331" s="6">
        <v>130500.25</v>
      </c>
      <c r="H331" s="6">
        <v>261000.5</v>
      </c>
    </row>
    <row r="332">
      <c r="B332" s="4" t="s">
        <v>828</v>
      </c>
      <c r="C332" s="4" t="s">
        <v>829</v>
      </c>
      <c r="D332" s="4" t="s">
        <v>9</v>
      </c>
      <c r="E332" s="4" t="s">
        <v>23</v>
      </c>
      <c r="F332" s="5">
        <v>2.0</v>
      </c>
      <c r="G332" s="6">
        <v>135622.78</v>
      </c>
      <c r="H332" s="6">
        <v>271245.56</v>
      </c>
    </row>
    <row r="333">
      <c r="B333" s="4" t="s">
        <v>830</v>
      </c>
      <c r="C333" s="4" t="s">
        <v>831</v>
      </c>
      <c r="D333" s="4" t="s">
        <v>9</v>
      </c>
      <c r="E333" s="4" t="s">
        <v>23</v>
      </c>
      <c r="F333" s="5">
        <v>2.0</v>
      </c>
      <c r="G333" s="6">
        <v>199204.49</v>
      </c>
      <c r="H333" s="6">
        <v>398408.98</v>
      </c>
    </row>
    <row r="334">
      <c r="B334" s="4" t="s">
        <v>631</v>
      </c>
      <c r="C334" s="4" t="s">
        <v>832</v>
      </c>
      <c r="D334" s="4" t="s">
        <v>9</v>
      </c>
      <c r="E334" s="4" t="s">
        <v>10</v>
      </c>
      <c r="F334" s="5">
        <v>6.0</v>
      </c>
      <c r="G334" s="6">
        <v>46380.04</v>
      </c>
      <c r="H334" s="6">
        <v>278280.24</v>
      </c>
    </row>
    <row r="335">
      <c r="B335" s="4" t="s">
        <v>834</v>
      </c>
      <c r="C335" s="4" t="s">
        <v>835</v>
      </c>
      <c r="D335" s="4" t="s">
        <v>9</v>
      </c>
      <c r="E335" s="4" t="s">
        <v>23</v>
      </c>
      <c r="F335" s="5">
        <v>4.0</v>
      </c>
      <c r="G335" s="6">
        <v>73841.47</v>
      </c>
      <c r="H335" s="6">
        <v>295365.88</v>
      </c>
    </row>
    <row r="336">
      <c r="B336" s="4" t="s">
        <v>836</v>
      </c>
      <c r="C336" s="4" t="s">
        <v>837</v>
      </c>
      <c r="D336" s="4" t="s">
        <v>9</v>
      </c>
      <c r="E336" s="10"/>
      <c r="F336" s="5">
        <v>3.0</v>
      </c>
      <c r="G336" s="6">
        <v>77062.15</v>
      </c>
      <c r="H336" s="6">
        <v>231186.45</v>
      </c>
    </row>
    <row r="337">
      <c r="B337" s="4" t="s">
        <v>838</v>
      </c>
      <c r="C337" s="4" t="s">
        <v>839</v>
      </c>
      <c r="D337" s="4" t="s">
        <v>9</v>
      </c>
      <c r="E337" s="4" t="s">
        <v>23</v>
      </c>
      <c r="F337" s="5">
        <v>3.0</v>
      </c>
      <c r="G337" s="6">
        <v>459360.36</v>
      </c>
      <c r="H337" s="6">
        <v>1378081.08</v>
      </c>
    </row>
    <row r="338">
      <c r="B338" s="19" t="s">
        <v>840</v>
      </c>
      <c r="C338" s="4" t="s">
        <v>841</v>
      </c>
      <c r="D338" s="4" t="s">
        <v>9</v>
      </c>
      <c r="E338" s="10"/>
      <c r="F338" s="5">
        <v>3.0</v>
      </c>
      <c r="G338" s="6">
        <v>127166.81</v>
      </c>
      <c r="H338" s="6">
        <v>381500.43</v>
      </c>
    </row>
    <row r="339">
      <c r="B339" s="4" t="s">
        <v>842</v>
      </c>
      <c r="C339" s="4" t="s">
        <v>843</v>
      </c>
      <c r="D339" s="4" t="s">
        <v>9</v>
      </c>
      <c r="E339" s="4" t="s">
        <v>23</v>
      </c>
      <c r="F339" s="5">
        <v>1.0</v>
      </c>
      <c r="G339" s="6">
        <v>229114.82</v>
      </c>
      <c r="H339" s="6">
        <v>229114.82</v>
      </c>
    </row>
    <row r="340">
      <c r="B340" s="19" t="s">
        <v>678</v>
      </c>
      <c r="C340" s="4" t="s">
        <v>845</v>
      </c>
      <c r="D340" s="4" t="s">
        <v>9</v>
      </c>
      <c r="E340" s="4" t="s">
        <v>10</v>
      </c>
      <c r="F340" s="5">
        <v>1.0</v>
      </c>
      <c r="G340" s="6">
        <v>478500.0</v>
      </c>
      <c r="H340" s="6">
        <v>478500.0</v>
      </c>
    </row>
    <row r="341">
      <c r="B341" s="4" t="s">
        <v>699</v>
      </c>
      <c r="C341" s="4" t="s">
        <v>846</v>
      </c>
      <c r="D341" s="4" t="s">
        <v>9</v>
      </c>
      <c r="E341" s="4" t="s">
        <v>10</v>
      </c>
      <c r="F341" s="5">
        <v>2.0</v>
      </c>
      <c r="G341" s="6">
        <v>167580.0</v>
      </c>
      <c r="H341" s="6">
        <v>335160.0</v>
      </c>
    </row>
    <row r="342">
      <c r="B342" s="4" t="s">
        <v>847</v>
      </c>
      <c r="C342" s="4" t="s">
        <v>848</v>
      </c>
      <c r="D342" s="4" t="s">
        <v>9</v>
      </c>
      <c r="E342" s="4" t="s">
        <v>23</v>
      </c>
      <c r="F342" s="5">
        <v>4.0</v>
      </c>
      <c r="G342" s="6">
        <v>47415.72</v>
      </c>
      <c r="H342" s="6">
        <v>189662.88</v>
      </c>
    </row>
    <row r="343">
      <c r="B343" s="4" t="s">
        <v>849</v>
      </c>
      <c r="C343" s="4" t="s">
        <v>850</v>
      </c>
      <c r="D343" s="4" t="s">
        <v>9</v>
      </c>
      <c r="E343" s="4" t="s">
        <v>23</v>
      </c>
      <c r="F343" s="5">
        <v>5.0</v>
      </c>
      <c r="G343" s="6">
        <v>102919.83</v>
      </c>
      <c r="H343" s="6">
        <v>514599.15</v>
      </c>
    </row>
    <row r="344">
      <c r="B344" s="4" t="s">
        <v>851</v>
      </c>
      <c r="C344" s="4" t="s">
        <v>852</v>
      </c>
      <c r="D344" s="4" t="s">
        <v>9</v>
      </c>
      <c r="E344" s="4" t="s">
        <v>23</v>
      </c>
      <c r="F344" s="5">
        <v>6.0</v>
      </c>
      <c r="G344" s="6">
        <v>54042.12</v>
      </c>
      <c r="H344" s="6">
        <v>324252.72</v>
      </c>
    </row>
    <row r="345">
      <c r="B345" s="4" t="s">
        <v>854</v>
      </c>
      <c r="C345" s="4" t="s">
        <v>855</v>
      </c>
      <c r="D345" s="4" t="s">
        <v>9</v>
      </c>
      <c r="E345" s="10"/>
      <c r="F345" s="5">
        <v>10.0</v>
      </c>
      <c r="G345" s="6">
        <v>72673.75</v>
      </c>
      <c r="H345" s="6">
        <v>726737.5</v>
      </c>
    </row>
    <row r="346">
      <c r="B346" s="4" t="s">
        <v>856</v>
      </c>
      <c r="C346" s="4" t="s">
        <v>857</v>
      </c>
      <c r="D346" s="4" t="s">
        <v>9</v>
      </c>
      <c r="E346" s="10"/>
      <c r="F346" s="5">
        <v>9.0</v>
      </c>
      <c r="G346" s="6">
        <v>99588.94</v>
      </c>
      <c r="H346" s="6">
        <v>896300.46</v>
      </c>
    </row>
    <row r="347">
      <c r="B347" s="4" t="s">
        <v>858</v>
      </c>
      <c r="C347" s="4" t="s">
        <v>859</v>
      </c>
      <c r="D347" s="4" t="s">
        <v>9</v>
      </c>
      <c r="E347" s="4" t="s">
        <v>23</v>
      </c>
      <c r="F347" s="5">
        <v>50.0</v>
      </c>
      <c r="G347" s="6">
        <v>6668.81</v>
      </c>
      <c r="H347" s="6">
        <v>333440.5</v>
      </c>
    </row>
    <row r="348">
      <c r="B348" s="4" t="s">
        <v>860</v>
      </c>
      <c r="C348" s="4" t="s">
        <v>861</v>
      </c>
      <c r="D348" s="4" t="s">
        <v>9</v>
      </c>
      <c r="E348" s="4" t="s">
        <v>23</v>
      </c>
      <c r="F348" s="5">
        <v>35.0</v>
      </c>
      <c r="G348" s="6">
        <v>5596.01</v>
      </c>
      <c r="H348" s="6">
        <v>195860.35</v>
      </c>
    </row>
    <row r="349">
      <c r="B349" s="4" t="s">
        <v>862</v>
      </c>
      <c r="C349" s="4" t="s">
        <v>863</v>
      </c>
      <c r="D349" s="4" t="s">
        <v>9</v>
      </c>
      <c r="E349" s="4" t="s">
        <v>23</v>
      </c>
      <c r="F349" s="5">
        <v>1.0</v>
      </c>
      <c r="G349" s="6">
        <v>594765.17</v>
      </c>
      <c r="H349" s="6">
        <v>594765.17</v>
      </c>
    </row>
    <row r="350">
      <c r="B350" s="4" t="s">
        <v>864</v>
      </c>
      <c r="C350" s="4" t="s">
        <v>865</v>
      </c>
      <c r="D350" s="4" t="s">
        <v>9</v>
      </c>
      <c r="E350" s="4" t="s">
        <v>173</v>
      </c>
      <c r="F350" s="5">
        <v>6.0</v>
      </c>
      <c r="G350" s="6">
        <v>108294.58</v>
      </c>
      <c r="H350" s="6">
        <v>649767.48</v>
      </c>
    </row>
    <row r="351">
      <c r="B351" s="4" t="s">
        <v>867</v>
      </c>
      <c r="C351" s="4" t="s">
        <v>868</v>
      </c>
      <c r="D351" s="4" t="s">
        <v>9</v>
      </c>
      <c r="E351" s="4" t="s">
        <v>23</v>
      </c>
      <c r="F351" s="5">
        <v>10.0</v>
      </c>
      <c r="G351" s="6">
        <v>24113.51</v>
      </c>
      <c r="H351" s="6">
        <v>241135.1</v>
      </c>
    </row>
    <row r="352">
      <c r="B352" s="4" t="s">
        <v>870</v>
      </c>
      <c r="C352" s="4" t="s">
        <v>871</v>
      </c>
      <c r="D352" s="4" t="s">
        <v>9</v>
      </c>
      <c r="E352" s="4" t="s">
        <v>23</v>
      </c>
      <c r="F352" s="5">
        <v>76.0</v>
      </c>
      <c r="G352" s="6">
        <v>2655.22</v>
      </c>
      <c r="H352" s="6">
        <v>201796.72</v>
      </c>
    </row>
    <row r="353">
      <c r="B353" s="4" t="s">
        <v>872</v>
      </c>
      <c r="C353" s="4" t="s">
        <v>873</v>
      </c>
      <c r="D353" s="4" t="s">
        <v>9</v>
      </c>
      <c r="E353" s="10"/>
      <c r="F353" s="5">
        <v>64.0</v>
      </c>
      <c r="G353" s="6">
        <v>4141.24</v>
      </c>
      <c r="H353" s="6">
        <v>265039.36</v>
      </c>
    </row>
    <row r="354">
      <c r="B354" s="4" t="s">
        <v>874</v>
      </c>
      <c r="C354" s="4" t="s">
        <v>875</v>
      </c>
      <c r="D354" s="4" t="s">
        <v>9</v>
      </c>
      <c r="E354" s="10"/>
      <c r="F354" s="5">
        <v>235.0</v>
      </c>
      <c r="G354" s="6">
        <v>3777.98</v>
      </c>
      <c r="H354" s="6">
        <v>887825.3</v>
      </c>
    </row>
    <row r="355">
      <c r="B355" s="4" t="s">
        <v>877</v>
      </c>
      <c r="C355" s="4" t="s">
        <v>878</v>
      </c>
      <c r="D355" s="4" t="s">
        <v>9</v>
      </c>
      <c r="E355" s="4" t="s">
        <v>23</v>
      </c>
      <c r="F355" s="5">
        <v>44.0</v>
      </c>
      <c r="G355" s="6">
        <v>21429.96</v>
      </c>
      <c r="H355" s="6">
        <v>942918.24</v>
      </c>
    </row>
    <row r="356">
      <c r="B356" s="4" t="s">
        <v>879</v>
      </c>
      <c r="C356" s="4" t="s">
        <v>880</v>
      </c>
      <c r="D356" s="4" t="s">
        <v>9</v>
      </c>
      <c r="E356" s="10"/>
      <c r="F356" s="5">
        <v>36.0</v>
      </c>
      <c r="G356" s="6">
        <v>25310.67</v>
      </c>
      <c r="H356" s="6">
        <v>911184.12</v>
      </c>
    </row>
    <row r="357">
      <c r="B357" s="4" t="s">
        <v>881</v>
      </c>
      <c r="C357" s="4" t="s">
        <v>882</v>
      </c>
      <c r="D357" s="4" t="s">
        <v>9</v>
      </c>
      <c r="E357" s="4" t="s">
        <v>23</v>
      </c>
      <c r="F357" s="5">
        <v>245.0</v>
      </c>
      <c r="G357" s="6">
        <v>1759.01</v>
      </c>
      <c r="H357" s="6">
        <v>430957.45</v>
      </c>
    </row>
    <row r="358">
      <c r="B358" s="4" t="s">
        <v>883</v>
      </c>
      <c r="C358" s="4" t="s">
        <v>884</v>
      </c>
      <c r="D358" s="4" t="s">
        <v>9</v>
      </c>
      <c r="E358" s="10"/>
      <c r="F358" s="5">
        <v>34.0</v>
      </c>
      <c r="G358" s="6">
        <v>10993.54</v>
      </c>
      <c r="H358" s="6">
        <v>373780.36</v>
      </c>
    </row>
    <row r="359">
      <c r="B359" s="4" t="s">
        <v>885</v>
      </c>
      <c r="C359" s="4" t="s">
        <v>886</v>
      </c>
      <c r="D359" s="4" t="s">
        <v>9</v>
      </c>
      <c r="E359" s="4" t="s">
        <v>23</v>
      </c>
      <c r="F359" s="5">
        <v>3.0</v>
      </c>
      <c r="G359" s="6">
        <v>70614.14</v>
      </c>
      <c r="H359" s="6">
        <v>211842.42</v>
      </c>
    </row>
    <row r="360">
      <c r="B360" s="4" t="s">
        <v>888</v>
      </c>
      <c r="C360" s="4" t="s">
        <v>889</v>
      </c>
      <c r="D360" s="4" t="s">
        <v>9</v>
      </c>
      <c r="E360" s="4" t="s">
        <v>23</v>
      </c>
      <c r="F360" s="5">
        <v>49.0</v>
      </c>
      <c r="G360" s="6">
        <v>17944.67</v>
      </c>
      <c r="H360" s="6">
        <v>879288.83</v>
      </c>
    </row>
    <row r="361">
      <c r="B361" s="4" t="s">
        <v>891</v>
      </c>
      <c r="C361" s="4" t="s">
        <v>892</v>
      </c>
      <c r="D361" s="4" t="s">
        <v>9</v>
      </c>
      <c r="E361" s="4" t="s">
        <v>23</v>
      </c>
      <c r="F361" s="5">
        <v>66.0</v>
      </c>
      <c r="G361" s="6">
        <v>16556.71</v>
      </c>
      <c r="H361" s="6">
        <v>1092742.86</v>
      </c>
    </row>
    <row r="362">
      <c r="B362" s="4" t="s">
        <v>893</v>
      </c>
      <c r="C362" s="4" t="s">
        <v>894</v>
      </c>
      <c r="D362" s="4" t="s">
        <v>9</v>
      </c>
      <c r="E362" s="10"/>
      <c r="F362" s="5">
        <v>132.0</v>
      </c>
      <c r="G362" s="6">
        <v>3842.54</v>
      </c>
      <c r="H362" s="6">
        <v>507215.28</v>
      </c>
    </row>
    <row r="363">
      <c r="B363" s="4" t="s">
        <v>896</v>
      </c>
      <c r="C363" s="4" t="s">
        <v>897</v>
      </c>
      <c r="D363" s="4" t="s">
        <v>9</v>
      </c>
      <c r="E363" s="10"/>
      <c r="F363" s="5">
        <v>104.0</v>
      </c>
      <c r="G363" s="6">
        <v>3465.04</v>
      </c>
      <c r="H363" s="6">
        <v>360364.16</v>
      </c>
    </row>
    <row r="364">
      <c r="B364" s="4" t="s">
        <v>898</v>
      </c>
      <c r="C364" s="4" t="s">
        <v>899</v>
      </c>
      <c r="D364" s="4" t="s">
        <v>9</v>
      </c>
      <c r="E364" s="4" t="s">
        <v>23</v>
      </c>
      <c r="F364" s="5">
        <v>1.0</v>
      </c>
      <c r="G364" s="6">
        <v>981458.18</v>
      </c>
      <c r="H364" s="6">
        <v>981458.18</v>
      </c>
    </row>
    <row r="365">
      <c r="B365" s="4" t="s">
        <v>900</v>
      </c>
      <c r="C365" s="4" t="s">
        <v>901</v>
      </c>
      <c r="D365" s="4" t="s">
        <v>9</v>
      </c>
      <c r="E365" s="4" t="s">
        <v>23</v>
      </c>
      <c r="F365" s="5">
        <v>1.0</v>
      </c>
      <c r="G365" s="6">
        <v>831506.23</v>
      </c>
      <c r="H365" s="6">
        <v>831506.23</v>
      </c>
    </row>
    <row r="366">
      <c r="B366" s="4" t="s">
        <v>902</v>
      </c>
      <c r="C366" s="4" t="s">
        <v>903</v>
      </c>
      <c r="D366" s="4" t="s">
        <v>9</v>
      </c>
      <c r="E366" s="4" t="s">
        <v>23</v>
      </c>
      <c r="F366" s="5">
        <v>7.0</v>
      </c>
      <c r="G366" s="6">
        <v>28208.43</v>
      </c>
      <c r="H366" s="6">
        <v>197459.01</v>
      </c>
    </row>
    <row r="367">
      <c r="B367" s="4" t="s">
        <v>905</v>
      </c>
      <c r="C367" s="4" t="s">
        <v>906</v>
      </c>
      <c r="D367" s="4" t="s">
        <v>9</v>
      </c>
      <c r="E367" s="10"/>
      <c r="F367" s="5">
        <v>50.0</v>
      </c>
      <c r="G367" s="6">
        <v>4866.91</v>
      </c>
      <c r="H367" s="6">
        <v>243345.5</v>
      </c>
    </row>
    <row r="368">
      <c r="B368" s="4" t="s">
        <v>908</v>
      </c>
      <c r="C368" s="4" t="s">
        <v>909</v>
      </c>
      <c r="D368" s="4" t="s">
        <v>9</v>
      </c>
      <c r="E368" s="4" t="s">
        <v>23</v>
      </c>
      <c r="F368" s="5">
        <v>11.0</v>
      </c>
      <c r="G368" s="6">
        <v>20198.76</v>
      </c>
      <c r="H368" s="6">
        <v>222186.36</v>
      </c>
    </row>
    <row r="369">
      <c r="B369" s="19" t="s">
        <v>910</v>
      </c>
      <c r="C369" s="4" t="s">
        <v>911</v>
      </c>
      <c r="D369" s="4" t="s">
        <v>9</v>
      </c>
      <c r="E369" s="4" t="s">
        <v>23</v>
      </c>
      <c r="F369" s="5">
        <v>23.0</v>
      </c>
      <c r="G369" s="6">
        <v>10715.44</v>
      </c>
      <c r="H369" s="6">
        <v>246455.12</v>
      </c>
    </row>
    <row r="370">
      <c r="B370" s="4" t="s">
        <v>912</v>
      </c>
      <c r="C370" s="4" t="s">
        <v>914</v>
      </c>
      <c r="D370" s="4" t="s">
        <v>9</v>
      </c>
      <c r="E370" s="4" t="s">
        <v>23</v>
      </c>
      <c r="F370" s="5">
        <v>2.0</v>
      </c>
      <c r="G370" s="6">
        <v>181447.5</v>
      </c>
      <c r="H370" s="6">
        <v>362895.0</v>
      </c>
    </row>
    <row r="371">
      <c r="B371" s="4" t="s">
        <v>915</v>
      </c>
      <c r="C371" s="4" t="s">
        <v>916</v>
      </c>
      <c r="D371" s="4" t="s">
        <v>9</v>
      </c>
      <c r="E371" s="4" t="s">
        <v>23</v>
      </c>
      <c r="F371" s="5">
        <v>5.0</v>
      </c>
      <c r="G371" s="6">
        <v>39764.77</v>
      </c>
      <c r="H371" s="6">
        <v>198823.85</v>
      </c>
    </row>
    <row r="372">
      <c r="B372" s="4" t="s">
        <v>917</v>
      </c>
      <c r="C372" s="4" t="s">
        <v>918</v>
      </c>
      <c r="D372" s="4" t="s">
        <v>9</v>
      </c>
      <c r="E372" s="10"/>
      <c r="F372" s="5">
        <v>25.0</v>
      </c>
      <c r="G372" s="6">
        <v>28559.27</v>
      </c>
      <c r="H372" s="6">
        <v>713981.75</v>
      </c>
    </row>
    <row r="373">
      <c r="B373" s="4" t="s">
        <v>919</v>
      </c>
      <c r="C373" s="4" t="s">
        <v>920</v>
      </c>
      <c r="D373" s="4" t="s">
        <v>9</v>
      </c>
      <c r="E373" s="10"/>
      <c r="F373" s="5">
        <v>5.0</v>
      </c>
      <c r="G373" s="6">
        <v>45510.81</v>
      </c>
      <c r="H373" s="6">
        <v>227554.05</v>
      </c>
    </row>
    <row r="374">
      <c r="B374" s="19" t="s">
        <v>922</v>
      </c>
      <c r="C374" s="4" t="s">
        <v>923</v>
      </c>
      <c r="D374" s="4" t="s">
        <v>9</v>
      </c>
      <c r="E374" s="4" t="s">
        <v>23</v>
      </c>
      <c r="F374" s="5">
        <v>38.0</v>
      </c>
      <c r="G374" s="6">
        <v>6223.94</v>
      </c>
      <c r="H374" s="6">
        <v>236509.72</v>
      </c>
    </row>
    <row r="375">
      <c r="B375" s="4" t="s">
        <v>925</v>
      </c>
      <c r="C375" s="4" t="s">
        <v>926</v>
      </c>
      <c r="D375" s="4" t="s">
        <v>9</v>
      </c>
      <c r="E375" s="4" t="s">
        <v>23</v>
      </c>
      <c r="F375" s="5">
        <v>24.0</v>
      </c>
      <c r="G375" s="6">
        <v>13559.62</v>
      </c>
      <c r="H375" s="6">
        <v>325430.88</v>
      </c>
    </row>
    <row r="376">
      <c r="B376" s="4" t="s">
        <v>927</v>
      </c>
      <c r="C376" s="4" t="s">
        <v>928</v>
      </c>
      <c r="D376" s="4" t="s">
        <v>9</v>
      </c>
      <c r="E376" s="4" t="s">
        <v>23</v>
      </c>
      <c r="F376" s="5">
        <v>12.0</v>
      </c>
      <c r="G376" s="6">
        <v>41410.28</v>
      </c>
      <c r="H376" s="6">
        <v>496923.36</v>
      </c>
    </row>
    <row r="377">
      <c r="B377" s="4" t="s">
        <v>929</v>
      </c>
      <c r="C377" s="4" t="s">
        <v>930</v>
      </c>
      <c r="D377" s="4" t="s">
        <v>9</v>
      </c>
      <c r="E377" s="4" t="s">
        <v>23</v>
      </c>
      <c r="F377" s="5">
        <v>1.0</v>
      </c>
      <c r="G377" s="6">
        <v>1033112.34</v>
      </c>
      <c r="H377" s="6">
        <v>1033112.34</v>
      </c>
    </row>
    <row r="378">
      <c r="B378" s="4" t="s">
        <v>932</v>
      </c>
      <c r="C378" s="4" t="s">
        <v>933</v>
      </c>
      <c r="D378" s="4" t="s">
        <v>9</v>
      </c>
      <c r="E378" s="4" t="s">
        <v>23</v>
      </c>
      <c r="F378" s="5">
        <v>6.0</v>
      </c>
      <c r="G378" s="6">
        <v>31771.31</v>
      </c>
      <c r="H378" s="6">
        <v>190627.86</v>
      </c>
    </row>
    <row r="379">
      <c r="B379" s="19" t="s">
        <v>934</v>
      </c>
      <c r="C379" s="4" t="s">
        <v>935</v>
      </c>
      <c r="D379" s="4" t="s">
        <v>9</v>
      </c>
      <c r="E379" s="4" t="s">
        <v>23</v>
      </c>
      <c r="F379" s="5">
        <v>11.0</v>
      </c>
      <c r="G379" s="6">
        <v>58279.33</v>
      </c>
      <c r="H379" s="6">
        <v>641072.63</v>
      </c>
    </row>
    <row r="380">
      <c r="B380" s="19" t="s">
        <v>936</v>
      </c>
      <c r="C380" s="4" t="s">
        <v>938</v>
      </c>
      <c r="D380" s="4" t="s">
        <v>9</v>
      </c>
      <c r="E380" s="4" t="s">
        <v>23</v>
      </c>
      <c r="F380" s="5">
        <v>10.0</v>
      </c>
      <c r="G380" s="6">
        <v>28435.56</v>
      </c>
      <c r="H380" s="6">
        <v>284355.6</v>
      </c>
    </row>
    <row r="381">
      <c r="B381" s="19" t="s">
        <v>939</v>
      </c>
      <c r="C381" s="4" t="s">
        <v>940</v>
      </c>
      <c r="D381" s="4" t="s">
        <v>9</v>
      </c>
      <c r="E381" s="4" t="s">
        <v>23</v>
      </c>
      <c r="F381" s="5">
        <v>16.0</v>
      </c>
      <c r="G381" s="6">
        <v>31156.77</v>
      </c>
      <c r="H381" s="6">
        <v>498508.32</v>
      </c>
    </row>
    <row r="382">
      <c r="B382" s="19" t="s">
        <v>943</v>
      </c>
      <c r="C382" s="4" t="s">
        <v>944</v>
      </c>
      <c r="D382" s="4" t="s">
        <v>9</v>
      </c>
      <c r="E382" s="4" t="s">
        <v>23</v>
      </c>
      <c r="F382" s="5">
        <v>26.0</v>
      </c>
      <c r="G382" s="6">
        <v>18803.11</v>
      </c>
      <c r="H382" s="6">
        <v>488880.86</v>
      </c>
    </row>
    <row r="383">
      <c r="B383" s="4" t="s">
        <v>945</v>
      </c>
      <c r="C383" s="4" t="s">
        <v>946</v>
      </c>
      <c r="D383" s="4" t="s">
        <v>9</v>
      </c>
      <c r="E383" s="4" t="s">
        <v>23</v>
      </c>
      <c r="F383" s="5">
        <v>32.0</v>
      </c>
      <c r="G383" s="6">
        <v>6442.75</v>
      </c>
      <c r="H383" s="6">
        <v>206168.0</v>
      </c>
    </row>
    <row r="384">
      <c r="B384" s="4" t="s">
        <v>942</v>
      </c>
      <c r="C384" s="4" t="s">
        <v>947</v>
      </c>
      <c r="D384" s="4" t="s">
        <v>9</v>
      </c>
      <c r="E384" s="4" t="s">
        <v>23</v>
      </c>
      <c r="F384" s="5">
        <v>99.0</v>
      </c>
      <c r="G384" s="6">
        <v>9352.37</v>
      </c>
      <c r="H384" s="6">
        <v>925884.63</v>
      </c>
    </row>
    <row r="385">
      <c r="B385" s="19" t="s">
        <v>948</v>
      </c>
      <c r="C385" s="4" t="s">
        <v>949</v>
      </c>
      <c r="D385" s="4" t="s">
        <v>9</v>
      </c>
      <c r="E385" s="4" t="s">
        <v>23</v>
      </c>
      <c r="F385" s="5">
        <v>8.0</v>
      </c>
      <c r="G385" s="6">
        <v>49266.11</v>
      </c>
      <c r="H385" s="6">
        <v>394128.88</v>
      </c>
    </row>
    <row r="386">
      <c r="B386" s="19" t="s">
        <v>951</v>
      </c>
      <c r="C386" s="4" t="s">
        <v>953</v>
      </c>
      <c r="D386" s="4" t="s">
        <v>9</v>
      </c>
      <c r="E386" s="4" t="s">
        <v>23</v>
      </c>
      <c r="F386" s="5">
        <v>40.0</v>
      </c>
      <c r="G386" s="6">
        <v>16491.11</v>
      </c>
      <c r="H386" s="6">
        <v>659644.4</v>
      </c>
    </row>
    <row r="387">
      <c r="B387" s="19" t="s">
        <v>954</v>
      </c>
      <c r="C387" s="4" t="s">
        <v>955</v>
      </c>
      <c r="D387" s="4" t="s">
        <v>9</v>
      </c>
      <c r="E387" s="4" t="s">
        <v>23</v>
      </c>
      <c r="F387" s="5">
        <v>16.0</v>
      </c>
      <c r="G387" s="6">
        <v>21770.93</v>
      </c>
      <c r="H387" s="6">
        <v>348334.88</v>
      </c>
    </row>
    <row r="388">
      <c r="B388" s="19" t="s">
        <v>956</v>
      </c>
      <c r="C388" s="4" t="s">
        <v>957</v>
      </c>
      <c r="D388" s="4" t="s">
        <v>9</v>
      </c>
      <c r="E388" s="4" t="s">
        <v>23</v>
      </c>
      <c r="F388" s="5">
        <v>32.0</v>
      </c>
      <c r="G388" s="6">
        <v>5806.29</v>
      </c>
      <c r="H388" s="6">
        <v>185801.28</v>
      </c>
    </row>
    <row r="389">
      <c r="B389" s="19" t="s">
        <v>958</v>
      </c>
      <c r="C389" s="4" t="s">
        <v>960</v>
      </c>
      <c r="D389" s="4" t="s">
        <v>9</v>
      </c>
      <c r="E389" s="4" t="s">
        <v>23</v>
      </c>
      <c r="F389" s="5">
        <v>25.0</v>
      </c>
      <c r="G389" s="6">
        <v>11926.31</v>
      </c>
      <c r="H389" s="6">
        <v>298157.75</v>
      </c>
    </row>
    <row r="390">
      <c r="B390" s="19" t="s">
        <v>961</v>
      </c>
      <c r="C390" s="4" t="s">
        <v>962</v>
      </c>
      <c r="D390" s="4" t="s">
        <v>9</v>
      </c>
      <c r="E390" s="4" t="s">
        <v>23</v>
      </c>
      <c r="F390" s="5">
        <v>33.0</v>
      </c>
      <c r="G390" s="6">
        <v>9379.94</v>
      </c>
      <c r="H390" s="6">
        <v>309538.02</v>
      </c>
    </row>
    <row r="391">
      <c r="B391" s="19" t="s">
        <v>963</v>
      </c>
      <c r="C391" s="4" t="s">
        <v>964</v>
      </c>
      <c r="D391" s="4" t="s">
        <v>9</v>
      </c>
      <c r="E391" s="4" t="s">
        <v>23</v>
      </c>
      <c r="F391" s="5">
        <v>43.0</v>
      </c>
      <c r="G391" s="6">
        <v>8582.26</v>
      </c>
      <c r="H391" s="6">
        <v>369037.18</v>
      </c>
    </row>
    <row r="392">
      <c r="B392" s="4" t="s">
        <v>965</v>
      </c>
      <c r="C392" s="4" t="s">
        <v>966</v>
      </c>
      <c r="D392" s="4" t="s">
        <v>9</v>
      </c>
      <c r="E392" s="10"/>
      <c r="F392" s="5">
        <v>68.0</v>
      </c>
      <c r="G392" s="6">
        <v>4620.69</v>
      </c>
      <c r="H392" s="6">
        <v>314206.92</v>
      </c>
    </row>
    <row r="393">
      <c r="B393" s="19" t="s">
        <v>968</v>
      </c>
      <c r="C393" s="4" t="s">
        <v>970</v>
      </c>
      <c r="D393" s="4" t="s">
        <v>9</v>
      </c>
      <c r="E393" s="4" t="s">
        <v>23</v>
      </c>
      <c r="F393" s="5">
        <v>12.0</v>
      </c>
      <c r="G393" s="6">
        <v>14938.49</v>
      </c>
      <c r="H393" s="6">
        <v>179261.88</v>
      </c>
    </row>
    <row r="394">
      <c r="B394" s="19" t="s">
        <v>971</v>
      </c>
      <c r="C394" s="4" t="s">
        <v>972</v>
      </c>
      <c r="D394" s="4" t="s">
        <v>9</v>
      </c>
      <c r="E394" s="4" t="s">
        <v>23</v>
      </c>
      <c r="F394" s="5">
        <v>16.0</v>
      </c>
      <c r="G394" s="6">
        <v>37900.36</v>
      </c>
      <c r="H394" s="6">
        <v>606405.76</v>
      </c>
    </row>
    <row r="395">
      <c r="B395" s="19" t="s">
        <v>973</v>
      </c>
      <c r="C395" s="4" t="s">
        <v>974</v>
      </c>
      <c r="D395" s="4" t="s">
        <v>9</v>
      </c>
      <c r="E395" s="4" t="s">
        <v>23</v>
      </c>
      <c r="F395" s="5">
        <v>24.0</v>
      </c>
      <c r="G395" s="6">
        <v>32641.19</v>
      </c>
      <c r="H395" s="6">
        <v>783388.56</v>
      </c>
    </row>
    <row r="396">
      <c r="B396" s="4" t="s">
        <v>975</v>
      </c>
      <c r="C396" s="4" t="s">
        <v>976</v>
      </c>
      <c r="D396" s="4" t="s">
        <v>9</v>
      </c>
      <c r="E396" s="4" t="s">
        <v>23</v>
      </c>
      <c r="F396" s="5">
        <v>1.0</v>
      </c>
      <c r="G396" s="6">
        <v>1267266.38</v>
      </c>
      <c r="H396" s="6">
        <v>1267266.38</v>
      </c>
    </row>
    <row r="397">
      <c r="B397" s="4" t="s">
        <v>977</v>
      </c>
      <c r="C397" s="4" t="s">
        <v>978</v>
      </c>
      <c r="D397" s="4" t="s">
        <v>9</v>
      </c>
      <c r="E397" s="4" t="s">
        <v>23</v>
      </c>
      <c r="F397" s="5">
        <v>2.0</v>
      </c>
      <c r="G397" s="6">
        <v>1514783.41</v>
      </c>
      <c r="H397" s="6">
        <v>3029566.82</v>
      </c>
    </row>
    <row r="398">
      <c r="B398" s="4" t="s">
        <v>980</v>
      </c>
      <c r="C398" s="4" t="s">
        <v>981</v>
      </c>
      <c r="D398" s="4" t="s">
        <v>9</v>
      </c>
      <c r="E398" s="4" t="s">
        <v>23</v>
      </c>
      <c r="F398" s="5">
        <v>1.0</v>
      </c>
      <c r="G398" s="6">
        <v>3203962.44</v>
      </c>
      <c r="H398" s="6">
        <v>3203962.44</v>
      </c>
    </row>
    <row r="399">
      <c r="B399" s="4" t="s">
        <v>982</v>
      </c>
      <c r="C399" s="4" t="s">
        <v>983</v>
      </c>
      <c r="D399" s="4" t="s">
        <v>9</v>
      </c>
      <c r="E399" s="4" t="s">
        <v>23</v>
      </c>
      <c r="F399" s="5">
        <v>2.0</v>
      </c>
      <c r="G399" s="6">
        <v>1180499.78</v>
      </c>
      <c r="H399" s="6">
        <v>2360999.56</v>
      </c>
    </row>
    <row r="400">
      <c r="B400" s="4" t="s">
        <v>984</v>
      </c>
      <c r="C400" s="4" t="s">
        <v>985</v>
      </c>
      <c r="D400" s="4" t="s">
        <v>491</v>
      </c>
      <c r="E400" s="4" t="s">
        <v>23</v>
      </c>
      <c r="F400" s="5">
        <v>28.4</v>
      </c>
      <c r="G400" s="6">
        <v>16028.09</v>
      </c>
      <c r="H400" s="6">
        <v>455197.76</v>
      </c>
    </row>
    <row r="401">
      <c r="B401" s="4" t="s">
        <v>987</v>
      </c>
      <c r="C401" s="4" t="s">
        <v>988</v>
      </c>
      <c r="D401" s="4" t="s">
        <v>9</v>
      </c>
      <c r="E401" s="4" t="s">
        <v>23</v>
      </c>
      <c r="F401" s="5">
        <v>8.0</v>
      </c>
      <c r="G401" s="6">
        <v>26357.58</v>
      </c>
      <c r="H401" s="6">
        <v>210860.64</v>
      </c>
    </row>
    <row r="402">
      <c r="B402" s="19" t="s">
        <v>989</v>
      </c>
      <c r="C402" s="4" t="s">
        <v>990</v>
      </c>
      <c r="D402" s="4" t="s">
        <v>491</v>
      </c>
      <c r="E402" s="4" t="s">
        <v>23</v>
      </c>
      <c r="F402" s="5">
        <v>35.0</v>
      </c>
      <c r="G402" s="6">
        <v>5432.41</v>
      </c>
      <c r="H402" s="6">
        <v>190134.35</v>
      </c>
    </row>
    <row r="403">
      <c r="B403" s="4" t="s">
        <v>992</v>
      </c>
      <c r="C403" s="4" t="s">
        <v>993</v>
      </c>
      <c r="D403" s="4" t="s">
        <v>9</v>
      </c>
      <c r="E403" s="4" t="s">
        <v>23</v>
      </c>
      <c r="F403" s="5">
        <v>2.0</v>
      </c>
      <c r="G403" s="6">
        <v>91073.27</v>
      </c>
      <c r="H403" s="6">
        <v>182146.54</v>
      </c>
    </row>
    <row r="404">
      <c r="B404" s="4" t="s">
        <v>994</v>
      </c>
      <c r="C404" s="4" t="s">
        <v>995</v>
      </c>
      <c r="D404" s="4" t="s">
        <v>9</v>
      </c>
      <c r="E404" s="4" t="s">
        <v>23</v>
      </c>
      <c r="F404" s="5">
        <v>38.0</v>
      </c>
      <c r="G404" s="6">
        <v>5687.07</v>
      </c>
      <c r="H404" s="6">
        <v>216108.66</v>
      </c>
    </row>
    <row r="405">
      <c r="B405" s="4" t="s">
        <v>996</v>
      </c>
      <c r="C405" s="4" t="s">
        <v>997</v>
      </c>
      <c r="D405" s="4" t="s">
        <v>9</v>
      </c>
      <c r="E405" s="4" t="s">
        <v>23</v>
      </c>
      <c r="F405" s="5">
        <v>38.0</v>
      </c>
      <c r="G405" s="6">
        <v>8179.35</v>
      </c>
      <c r="H405" s="6">
        <v>310815.3</v>
      </c>
    </row>
    <row r="406">
      <c r="B406" s="4" t="s">
        <v>999</v>
      </c>
      <c r="C406" s="4" t="s">
        <v>1000</v>
      </c>
      <c r="D406" s="4" t="s">
        <v>9</v>
      </c>
      <c r="E406" s="4" t="s">
        <v>23</v>
      </c>
      <c r="F406" s="5">
        <v>70.0</v>
      </c>
      <c r="G406" s="6">
        <v>3303.23</v>
      </c>
      <c r="H406" s="6">
        <v>231226.1</v>
      </c>
    </row>
    <row r="407">
      <c r="B407" s="4" t="s">
        <v>1001</v>
      </c>
      <c r="C407" s="4" t="s">
        <v>1002</v>
      </c>
      <c r="D407" s="4" t="s">
        <v>9</v>
      </c>
      <c r="E407" s="4" t="s">
        <v>173</v>
      </c>
      <c r="F407" s="5">
        <v>11.0</v>
      </c>
      <c r="G407" s="6">
        <v>24175.41</v>
      </c>
      <c r="H407" s="6">
        <v>265929.51</v>
      </c>
    </row>
    <row r="408">
      <c r="B408" s="19" t="s">
        <v>1004</v>
      </c>
      <c r="C408" s="4" t="s">
        <v>1005</v>
      </c>
      <c r="D408" s="4" t="s">
        <v>9</v>
      </c>
      <c r="E408" s="4" t="s">
        <v>23</v>
      </c>
      <c r="F408" s="5">
        <v>1.0</v>
      </c>
      <c r="G408" s="6">
        <v>657218.78</v>
      </c>
      <c r="H408" s="6">
        <v>657218.78</v>
      </c>
    </row>
    <row r="409">
      <c r="B409" s="19" t="s">
        <v>1007</v>
      </c>
      <c r="C409" s="4" t="s">
        <v>1009</v>
      </c>
      <c r="D409" s="4" t="s">
        <v>9</v>
      </c>
      <c r="E409" s="4" t="s">
        <v>23</v>
      </c>
      <c r="F409" s="5">
        <v>2.0</v>
      </c>
      <c r="G409" s="6">
        <v>121823.91</v>
      </c>
      <c r="H409" s="6">
        <v>243647.82</v>
      </c>
    </row>
    <row r="410">
      <c r="B410" s="4" t="s">
        <v>1010</v>
      </c>
      <c r="C410" s="4" t="s">
        <v>1011</v>
      </c>
      <c r="D410" s="4" t="s">
        <v>9</v>
      </c>
      <c r="E410" s="4" t="s">
        <v>10</v>
      </c>
      <c r="F410" s="5">
        <v>13.0</v>
      </c>
      <c r="G410" s="6">
        <v>14218.24</v>
      </c>
      <c r="H410" s="6">
        <v>184837.12</v>
      </c>
    </row>
    <row r="411">
      <c r="B411" s="4" t="s">
        <v>998</v>
      </c>
      <c r="C411" s="4" t="s">
        <v>1013</v>
      </c>
      <c r="D411" s="4" t="s">
        <v>9</v>
      </c>
      <c r="E411" s="4" t="s">
        <v>23</v>
      </c>
      <c r="F411" s="5">
        <v>22.0</v>
      </c>
      <c r="G411" s="6">
        <v>29295.89</v>
      </c>
      <c r="H411" s="6">
        <v>644509.58</v>
      </c>
    </row>
    <row r="412">
      <c r="B412" s="4" t="s">
        <v>1012</v>
      </c>
      <c r="C412" s="4" t="s">
        <v>1014</v>
      </c>
      <c r="D412" s="4" t="s">
        <v>9</v>
      </c>
      <c r="E412" s="4" t="s">
        <v>10</v>
      </c>
      <c r="F412" s="5">
        <v>550.0</v>
      </c>
      <c r="G412" s="6">
        <v>1154.22</v>
      </c>
      <c r="H412" s="6">
        <v>634821.0</v>
      </c>
    </row>
    <row r="413">
      <c r="B413" s="4" t="s">
        <v>1015</v>
      </c>
      <c r="C413" s="4" t="s">
        <v>1016</v>
      </c>
      <c r="D413" s="4" t="s">
        <v>9</v>
      </c>
      <c r="E413" s="4" t="s">
        <v>10</v>
      </c>
      <c r="F413" s="5">
        <v>4.0</v>
      </c>
      <c r="G413" s="6">
        <v>67250.0</v>
      </c>
      <c r="H413" s="6">
        <v>269000.0</v>
      </c>
    </row>
    <row r="414">
      <c r="B414" s="4" t="s">
        <v>1018</v>
      </c>
      <c r="C414" s="4" t="s">
        <v>1019</v>
      </c>
      <c r="D414" s="4" t="s">
        <v>9</v>
      </c>
      <c r="E414" s="4" t="s">
        <v>10</v>
      </c>
      <c r="F414" s="5">
        <v>2.0</v>
      </c>
      <c r="G414" s="6">
        <v>137500.0</v>
      </c>
      <c r="H414" s="6">
        <v>275000.0</v>
      </c>
    </row>
    <row r="415">
      <c r="B415" s="4" t="s">
        <v>143</v>
      </c>
      <c r="C415" s="4" t="s">
        <v>1021</v>
      </c>
      <c r="D415" s="4" t="s">
        <v>9</v>
      </c>
      <c r="E415" s="4" t="s">
        <v>10</v>
      </c>
      <c r="F415" s="5">
        <v>38.0</v>
      </c>
      <c r="G415" s="6">
        <v>7418.75</v>
      </c>
      <c r="H415" s="6">
        <v>281912.5</v>
      </c>
    </row>
    <row r="416">
      <c r="B416" s="4" t="s">
        <v>99</v>
      </c>
      <c r="C416" s="4" t="s">
        <v>1022</v>
      </c>
      <c r="D416" s="4" t="s">
        <v>9</v>
      </c>
      <c r="E416" s="10"/>
      <c r="F416" s="5">
        <v>34.0</v>
      </c>
      <c r="G416" s="6">
        <v>5190.67</v>
      </c>
      <c r="H416" s="6">
        <v>176482.78</v>
      </c>
    </row>
    <row r="417">
      <c r="B417" s="4" t="s">
        <v>40</v>
      </c>
      <c r="C417" s="4" t="s">
        <v>1023</v>
      </c>
      <c r="D417" s="4" t="s">
        <v>9</v>
      </c>
      <c r="E417" s="4" t="s">
        <v>10</v>
      </c>
      <c r="F417" s="5">
        <v>4.0</v>
      </c>
      <c r="G417" s="6">
        <v>54988.0</v>
      </c>
      <c r="H417" s="6">
        <v>219952.0</v>
      </c>
    </row>
    <row r="418">
      <c r="B418" s="4" t="s">
        <v>57</v>
      </c>
      <c r="C418" s="4" t="s">
        <v>1025</v>
      </c>
      <c r="D418" s="4" t="s">
        <v>9</v>
      </c>
      <c r="E418" s="4" t="s">
        <v>10</v>
      </c>
      <c r="F418" s="5">
        <v>1.0</v>
      </c>
      <c r="G418" s="6">
        <v>210000.0</v>
      </c>
      <c r="H418" s="6">
        <v>210000.0</v>
      </c>
    </row>
    <row r="419">
      <c r="B419" s="4" t="s">
        <v>1026</v>
      </c>
      <c r="C419" s="4" t="s">
        <v>1027</v>
      </c>
      <c r="D419" s="4" t="s">
        <v>9</v>
      </c>
      <c r="E419" s="4" t="s">
        <v>10</v>
      </c>
      <c r="F419" s="5">
        <v>41.0</v>
      </c>
      <c r="G419" s="6">
        <v>4906.73</v>
      </c>
      <c r="H419" s="6">
        <v>201175.93</v>
      </c>
    </row>
    <row r="420">
      <c r="B420" s="4" t="s">
        <v>33</v>
      </c>
      <c r="C420" s="4" t="s">
        <v>1028</v>
      </c>
      <c r="D420" s="4" t="s">
        <v>9</v>
      </c>
      <c r="E420" s="4" t="s">
        <v>23</v>
      </c>
      <c r="F420" s="5">
        <v>630.0</v>
      </c>
      <c r="G420" s="5">
        <v>861.47</v>
      </c>
      <c r="H420" s="6">
        <v>542726.1</v>
      </c>
    </row>
    <row r="421">
      <c r="B421" s="4" t="s">
        <v>1031</v>
      </c>
      <c r="C421" s="4" t="s">
        <v>1032</v>
      </c>
      <c r="D421" s="4" t="s">
        <v>9</v>
      </c>
      <c r="E421" s="4" t="s">
        <v>10</v>
      </c>
      <c r="F421" s="5">
        <v>16.0</v>
      </c>
      <c r="G421" s="6">
        <v>23722.22</v>
      </c>
      <c r="H421" s="6">
        <v>379555.52</v>
      </c>
    </row>
    <row r="422">
      <c r="B422" s="4" t="s">
        <v>71</v>
      </c>
      <c r="C422" s="4" t="s">
        <v>1033</v>
      </c>
      <c r="D422" s="4" t="s">
        <v>9</v>
      </c>
      <c r="E422" s="4" t="s">
        <v>10</v>
      </c>
      <c r="F422" s="5">
        <v>2.0</v>
      </c>
      <c r="G422" s="6">
        <v>421500.0</v>
      </c>
      <c r="H422" s="6">
        <v>843000.0</v>
      </c>
    </row>
    <row r="423">
      <c r="B423" s="4" t="s">
        <v>1034</v>
      </c>
      <c r="C423" s="4" t="s">
        <v>1035</v>
      </c>
      <c r="D423" s="4" t="s">
        <v>9</v>
      </c>
      <c r="E423" s="4" t="s">
        <v>10</v>
      </c>
      <c r="F423" s="5">
        <v>1.0</v>
      </c>
      <c r="G423" s="6">
        <v>590000.0</v>
      </c>
      <c r="H423" s="6">
        <v>590000.0</v>
      </c>
    </row>
    <row r="424">
      <c r="B424" s="4" t="s">
        <v>120</v>
      </c>
      <c r="C424" s="4" t="s">
        <v>1037</v>
      </c>
      <c r="D424" s="4" t="s">
        <v>9</v>
      </c>
      <c r="E424" s="4" t="s">
        <v>10</v>
      </c>
      <c r="F424" s="5">
        <v>10.0</v>
      </c>
      <c r="G424" s="6">
        <v>18500.0</v>
      </c>
      <c r="H424" s="6">
        <v>185000.0</v>
      </c>
    </row>
    <row r="425">
      <c r="B425" s="4" t="s">
        <v>1038</v>
      </c>
      <c r="C425" s="4" t="s">
        <v>1039</v>
      </c>
      <c r="D425" s="4" t="s">
        <v>9</v>
      </c>
      <c r="E425" s="10"/>
      <c r="F425" s="5">
        <v>1.0</v>
      </c>
      <c r="G425" s="6">
        <v>394267.04</v>
      </c>
      <c r="H425" s="6">
        <v>394267.04</v>
      </c>
    </row>
    <row r="426">
      <c r="B426" s="4" t="s">
        <v>1040</v>
      </c>
      <c r="C426" s="4" t="s">
        <v>1041</v>
      </c>
      <c r="D426" s="4" t="s">
        <v>9</v>
      </c>
      <c r="E426" s="4" t="s">
        <v>23</v>
      </c>
      <c r="F426" s="5">
        <v>2.0</v>
      </c>
      <c r="G426" s="6">
        <v>138323.72</v>
      </c>
      <c r="H426" s="6">
        <v>276647.44</v>
      </c>
    </row>
    <row r="427">
      <c r="B427" s="4" t="s">
        <v>1042</v>
      </c>
      <c r="C427" s="4" t="s">
        <v>1043</v>
      </c>
      <c r="D427" s="4" t="s">
        <v>9</v>
      </c>
      <c r="E427" s="4" t="s">
        <v>23</v>
      </c>
      <c r="F427" s="5">
        <v>2.0</v>
      </c>
      <c r="G427" s="6">
        <v>94270.82</v>
      </c>
      <c r="H427" s="6">
        <v>188541.64</v>
      </c>
    </row>
    <row r="428">
      <c r="B428" s="4" t="s">
        <v>1044</v>
      </c>
      <c r="C428" s="4" t="s">
        <v>1045</v>
      </c>
      <c r="D428" s="4" t="s">
        <v>9</v>
      </c>
      <c r="E428" s="4" t="s">
        <v>23</v>
      </c>
      <c r="F428" s="5">
        <v>2.0</v>
      </c>
      <c r="G428" s="6">
        <v>105717.61</v>
      </c>
      <c r="H428" s="6">
        <v>211435.22</v>
      </c>
    </row>
    <row r="429">
      <c r="B429" s="4" t="s">
        <v>1046</v>
      </c>
      <c r="C429" s="4" t="s">
        <v>1047</v>
      </c>
      <c r="D429" s="4" t="s">
        <v>9</v>
      </c>
      <c r="E429" s="4" t="s">
        <v>23</v>
      </c>
      <c r="F429" s="5">
        <v>1.0</v>
      </c>
      <c r="G429" s="6">
        <v>589739.46</v>
      </c>
      <c r="H429" s="6">
        <v>589739.46</v>
      </c>
    </row>
    <row r="430">
      <c r="B430" s="4" t="s">
        <v>1049</v>
      </c>
      <c r="C430" s="4" t="s">
        <v>1050</v>
      </c>
      <c r="D430" s="4" t="s">
        <v>9</v>
      </c>
      <c r="E430" s="4" t="s">
        <v>23</v>
      </c>
      <c r="F430" s="5">
        <v>3.0</v>
      </c>
      <c r="G430" s="6">
        <v>224548.31</v>
      </c>
      <c r="H430" s="6">
        <v>673644.93</v>
      </c>
    </row>
    <row r="431">
      <c r="B431" s="4" t="s">
        <v>1051</v>
      </c>
      <c r="C431" s="4" t="s">
        <v>1052</v>
      </c>
      <c r="D431" s="4" t="s">
        <v>9</v>
      </c>
      <c r="E431" s="4" t="s">
        <v>23</v>
      </c>
      <c r="F431" s="5">
        <v>3.0</v>
      </c>
      <c r="G431" s="6">
        <v>123993.62</v>
      </c>
      <c r="H431" s="6">
        <v>371980.86</v>
      </c>
    </row>
    <row r="432">
      <c r="B432" s="4" t="s">
        <v>1053</v>
      </c>
      <c r="C432" s="4" t="s">
        <v>1054</v>
      </c>
      <c r="D432" s="4" t="s">
        <v>9</v>
      </c>
      <c r="E432" s="4" t="s">
        <v>173</v>
      </c>
      <c r="F432" s="5">
        <v>4.0</v>
      </c>
      <c r="G432" s="6">
        <v>54743.93</v>
      </c>
      <c r="H432" s="6">
        <v>218975.72</v>
      </c>
    </row>
    <row r="433">
      <c r="B433" s="4" t="s">
        <v>1055</v>
      </c>
      <c r="C433" s="4" t="s">
        <v>1056</v>
      </c>
      <c r="D433" s="4" t="s">
        <v>9</v>
      </c>
      <c r="E433" s="4" t="s">
        <v>23</v>
      </c>
      <c r="F433" s="5">
        <v>2.0</v>
      </c>
      <c r="G433" s="6">
        <v>591617.23</v>
      </c>
      <c r="H433" s="6">
        <v>1183234.46</v>
      </c>
    </row>
    <row r="434">
      <c r="B434" s="4" t="s">
        <v>1058</v>
      </c>
      <c r="C434" s="4" t="s">
        <v>1059</v>
      </c>
      <c r="D434" s="4" t="s">
        <v>9</v>
      </c>
      <c r="E434" s="4" t="s">
        <v>23</v>
      </c>
      <c r="F434" s="5">
        <v>2.0</v>
      </c>
      <c r="G434" s="6">
        <v>163937.83</v>
      </c>
      <c r="H434" s="6">
        <v>327875.66</v>
      </c>
    </row>
    <row r="435">
      <c r="B435" s="4" t="s">
        <v>1060</v>
      </c>
      <c r="C435" s="4" t="s">
        <v>1061</v>
      </c>
      <c r="D435" s="4" t="s">
        <v>9</v>
      </c>
      <c r="E435" s="4" t="s">
        <v>23</v>
      </c>
      <c r="F435" s="5">
        <v>3.0</v>
      </c>
      <c r="G435" s="6">
        <v>83147.81</v>
      </c>
      <c r="H435" s="6">
        <v>249443.43</v>
      </c>
    </row>
    <row r="436">
      <c r="B436" s="4" t="s">
        <v>1062</v>
      </c>
      <c r="C436" s="4" t="s">
        <v>1063</v>
      </c>
      <c r="D436" s="4" t="s">
        <v>9</v>
      </c>
      <c r="E436" s="4" t="s">
        <v>23</v>
      </c>
      <c r="F436" s="5">
        <v>1.0</v>
      </c>
      <c r="G436" s="6">
        <v>188168.15</v>
      </c>
      <c r="H436" s="6">
        <v>188168.15</v>
      </c>
    </row>
    <row r="437">
      <c r="B437" s="4" t="s">
        <v>1064</v>
      </c>
      <c r="C437" s="4" t="s">
        <v>1065</v>
      </c>
      <c r="D437" s="4" t="s">
        <v>9</v>
      </c>
      <c r="E437" s="4" t="s">
        <v>23</v>
      </c>
      <c r="F437" s="5">
        <v>1.0</v>
      </c>
      <c r="G437" s="6">
        <v>403960.71</v>
      </c>
      <c r="H437" s="6">
        <v>403960.71</v>
      </c>
    </row>
    <row r="438">
      <c r="B438" s="4" t="s">
        <v>1066</v>
      </c>
      <c r="C438" s="4" t="s">
        <v>1067</v>
      </c>
      <c r="D438" s="4" t="s">
        <v>9</v>
      </c>
      <c r="E438" s="4" t="s">
        <v>23</v>
      </c>
      <c r="F438" s="5">
        <v>1.0</v>
      </c>
      <c r="G438" s="6">
        <v>1020702.03</v>
      </c>
      <c r="H438" s="6">
        <v>1020702.03</v>
      </c>
    </row>
    <row r="439">
      <c r="B439" s="4" t="s">
        <v>1068</v>
      </c>
      <c r="C439" s="4" t="s">
        <v>1069</v>
      </c>
      <c r="D439" s="4" t="s">
        <v>9</v>
      </c>
      <c r="E439" s="4" t="s">
        <v>23</v>
      </c>
      <c r="F439" s="5">
        <v>6.0</v>
      </c>
      <c r="G439" s="6">
        <v>54732.9</v>
      </c>
      <c r="H439" s="6">
        <v>328397.4</v>
      </c>
    </row>
    <row r="440">
      <c r="B440" s="4" t="s">
        <v>1071</v>
      </c>
      <c r="C440" s="4" t="s">
        <v>1072</v>
      </c>
      <c r="D440" s="4" t="s">
        <v>9</v>
      </c>
      <c r="E440" s="4" t="s">
        <v>23</v>
      </c>
      <c r="F440" s="5">
        <v>3.0</v>
      </c>
      <c r="G440" s="6">
        <v>88883.15</v>
      </c>
      <c r="H440" s="6">
        <v>266649.45</v>
      </c>
    </row>
    <row r="441">
      <c r="B441" s="4" t="s">
        <v>1073</v>
      </c>
      <c r="C441" s="4" t="s">
        <v>1074</v>
      </c>
      <c r="D441" s="4" t="s">
        <v>9</v>
      </c>
      <c r="E441" s="4" t="s">
        <v>23</v>
      </c>
      <c r="F441" s="5">
        <v>2.0</v>
      </c>
      <c r="G441" s="6">
        <v>91913.74</v>
      </c>
      <c r="H441" s="6">
        <v>183827.48</v>
      </c>
    </row>
    <row r="442">
      <c r="B442" s="4" t="s">
        <v>1075</v>
      </c>
      <c r="C442" s="4" t="s">
        <v>1076</v>
      </c>
      <c r="D442" s="4" t="s">
        <v>9</v>
      </c>
      <c r="E442" s="4" t="s">
        <v>23</v>
      </c>
      <c r="F442" s="5">
        <v>2.0</v>
      </c>
      <c r="G442" s="6">
        <v>533068.66</v>
      </c>
      <c r="H442" s="6">
        <v>1066137.32</v>
      </c>
    </row>
    <row r="443">
      <c r="B443" s="19" t="s">
        <v>1078</v>
      </c>
      <c r="C443" s="4" t="s">
        <v>1079</v>
      </c>
      <c r="D443" s="4" t="s">
        <v>9</v>
      </c>
      <c r="E443" s="4" t="s">
        <v>23</v>
      </c>
      <c r="F443" s="5">
        <v>2.0</v>
      </c>
      <c r="G443" s="6">
        <v>89582.86</v>
      </c>
      <c r="H443" s="6">
        <v>179165.72</v>
      </c>
    </row>
    <row r="444">
      <c r="B444" s="4" t="s">
        <v>1080</v>
      </c>
      <c r="C444" s="4" t="s">
        <v>1081</v>
      </c>
      <c r="D444" s="4" t="s">
        <v>9</v>
      </c>
      <c r="E444" s="4" t="s">
        <v>23</v>
      </c>
      <c r="F444" s="5">
        <v>1.0</v>
      </c>
      <c r="G444" s="6">
        <v>252413.52</v>
      </c>
      <c r="H444" s="6">
        <v>252413.52</v>
      </c>
    </row>
    <row r="445">
      <c r="B445" s="4" t="s">
        <v>1082</v>
      </c>
      <c r="C445" s="4" t="s">
        <v>1083</v>
      </c>
      <c r="D445" s="4" t="s">
        <v>9</v>
      </c>
      <c r="E445" s="4" t="s">
        <v>23</v>
      </c>
      <c r="F445" s="5">
        <v>1.0</v>
      </c>
      <c r="G445" s="6">
        <v>284512.03</v>
      </c>
      <c r="H445" s="6">
        <v>284512.03</v>
      </c>
    </row>
    <row r="446">
      <c r="B446" s="4" t="s">
        <v>1085</v>
      </c>
      <c r="C446" s="4" t="s">
        <v>1086</v>
      </c>
      <c r="D446" s="4" t="s">
        <v>9</v>
      </c>
      <c r="E446" s="4" t="s">
        <v>23</v>
      </c>
      <c r="F446" s="5">
        <v>1.0</v>
      </c>
      <c r="G446" s="6">
        <v>202825.96</v>
      </c>
      <c r="H446" s="6">
        <v>202825.96</v>
      </c>
    </row>
    <row r="447">
      <c r="B447" s="4" t="s">
        <v>1087</v>
      </c>
      <c r="C447" s="4" t="s">
        <v>1088</v>
      </c>
      <c r="D447" s="4" t="s">
        <v>9</v>
      </c>
      <c r="E447" s="4" t="s">
        <v>23</v>
      </c>
      <c r="F447" s="5">
        <v>1.0</v>
      </c>
      <c r="G447" s="6">
        <v>521234.93</v>
      </c>
      <c r="H447" s="6">
        <v>521234.93</v>
      </c>
    </row>
    <row r="448">
      <c r="B448" s="4" t="s">
        <v>1089</v>
      </c>
      <c r="C448" s="4" t="s">
        <v>1090</v>
      </c>
      <c r="D448" s="4" t="s">
        <v>9</v>
      </c>
      <c r="E448" s="4" t="s">
        <v>23</v>
      </c>
      <c r="F448" s="5">
        <v>1.0</v>
      </c>
      <c r="G448" s="6">
        <v>178528.72</v>
      </c>
      <c r="H448" s="6">
        <v>178528.72</v>
      </c>
    </row>
    <row r="449">
      <c r="B449" s="4" t="s">
        <v>1091</v>
      </c>
      <c r="C449" s="4" t="s">
        <v>1092</v>
      </c>
      <c r="D449" s="4" t="s">
        <v>9</v>
      </c>
      <c r="E449" s="4" t="s">
        <v>173</v>
      </c>
      <c r="F449" s="5">
        <v>3.0</v>
      </c>
      <c r="G449" s="6">
        <v>370148.09</v>
      </c>
      <c r="H449" s="6">
        <v>1110444.27</v>
      </c>
    </row>
    <row r="450">
      <c r="B450" s="4" t="s">
        <v>1094</v>
      </c>
      <c r="C450" s="4" t="s">
        <v>1095</v>
      </c>
      <c r="D450" s="4" t="s">
        <v>9</v>
      </c>
      <c r="E450" s="4" t="s">
        <v>173</v>
      </c>
      <c r="F450" s="5">
        <v>5.0</v>
      </c>
      <c r="G450" s="6">
        <v>72484.44</v>
      </c>
      <c r="H450" s="6">
        <v>362422.2</v>
      </c>
    </row>
    <row r="451">
      <c r="B451" s="4" t="s">
        <v>1096</v>
      </c>
      <c r="C451" s="4" t="s">
        <v>1097</v>
      </c>
      <c r="D451" s="4" t="s">
        <v>9</v>
      </c>
      <c r="E451" s="4" t="s">
        <v>23</v>
      </c>
      <c r="F451" s="5">
        <v>1.0</v>
      </c>
      <c r="G451" s="6">
        <v>228626.97</v>
      </c>
      <c r="H451" s="6">
        <v>228626.97</v>
      </c>
    </row>
    <row r="452">
      <c r="B452" s="19" t="s">
        <v>1098</v>
      </c>
      <c r="C452" s="4" t="s">
        <v>1099</v>
      </c>
      <c r="D452" s="4" t="s">
        <v>9</v>
      </c>
      <c r="E452" s="4" t="s">
        <v>23</v>
      </c>
      <c r="F452" s="5">
        <v>1.0</v>
      </c>
      <c r="G452" s="6">
        <v>249751.62</v>
      </c>
      <c r="H452" s="6">
        <v>249751.62</v>
      </c>
    </row>
    <row r="453">
      <c r="B453" s="4" t="s">
        <v>1100</v>
      </c>
      <c r="C453" s="4" t="s">
        <v>1101</v>
      </c>
      <c r="D453" s="4" t="s">
        <v>9</v>
      </c>
      <c r="E453" s="4" t="s">
        <v>23</v>
      </c>
      <c r="F453" s="5">
        <v>1.0</v>
      </c>
      <c r="G453" s="6">
        <v>382216.99</v>
      </c>
      <c r="H453" s="6">
        <v>382216.99</v>
      </c>
    </row>
    <row r="454">
      <c r="B454" s="4" t="s">
        <v>1103</v>
      </c>
      <c r="C454" s="4" t="s">
        <v>1104</v>
      </c>
      <c r="D454" s="4" t="s">
        <v>9</v>
      </c>
      <c r="E454" s="4" t="s">
        <v>23</v>
      </c>
      <c r="F454" s="5">
        <v>1.0</v>
      </c>
      <c r="G454" s="6">
        <v>196014.79</v>
      </c>
      <c r="H454" s="6">
        <v>196014.79</v>
      </c>
    </row>
    <row r="455">
      <c r="B455" s="4" t="s">
        <v>1105</v>
      </c>
      <c r="C455" s="4" t="s">
        <v>1106</v>
      </c>
      <c r="D455" s="4" t="s">
        <v>9</v>
      </c>
      <c r="E455" s="4" t="s">
        <v>23</v>
      </c>
      <c r="F455" s="5">
        <v>2.0</v>
      </c>
      <c r="G455" s="6">
        <v>210749.23</v>
      </c>
      <c r="H455" s="6">
        <v>421498.46</v>
      </c>
    </row>
    <row r="456">
      <c r="B456" s="4" t="s">
        <v>1107</v>
      </c>
      <c r="C456" s="4" t="s">
        <v>1108</v>
      </c>
      <c r="D456" s="4" t="s">
        <v>9</v>
      </c>
      <c r="E456" s="4" t="s">
        <v>23</v>
      </c>
      <c r="F456" s="5">
        <v>6.0</v>
      </c>
      <c r="G456" s="6">
        <v>205153.99</v>
      </c>
      <c r="H456" s="6">
        <v>1230923.94</v>
      </c>
    </row>
    <row r="457">
      <c r="B457" s="4" t="s">
        <v>1109</v>
      </c>
      <c r="C457" s="4" t="s">
        <v>1110</v>
      </c>
      <c r="D457" s="4" t="s">
        <v>9</v>
      </c>
      <c r="E457" s="4" t="s">
        <v>173</v>
      </c>
      <c r="F457" s="5">
        <v>1.0</v>
      </c>
      <c r="G457" s="6">
        <v>391285.24</v>
      </c>
      <c r="H457" s="6">
        <v>391285.24</v>
      </c>
    </row>
    <row r="458">
      <c r="B458" s="4" t="s">
        <v>1112</v>
      </c>
      <c r="C458" s="4" t="s">
        <v>1113</v>
      </c>
      <c r="D458" s="4" t="s">
        <v>9</v>
      </c>
      <c r="E458" s="4" t="s">
        <v>23</v>
      </c>
      <c r="F458" s="5">
        <v>2.0</v>
      </c>
      <c r="G458" s="6">
        <v>373274.59</v>
      </c>
      <c r="H458" s="6">
        <v>746549.18</v>
      </c>
    </row>
    <row r="459">
      <c r="B459" s="4" t="s">
        <v>1114</v>
      </c>
      <c r="C459" s="4" t="s">
        <v>1115</v>
      </c>
      <c r="D459" s="4" t="s">
        <v>9</v>
      </c>
      <c r="E459" s="4" t="s">
        <v>23</v>
      </c>
      <c r="F459" s="5">
        <v>2.0</v>
      </c>
      <c r="G459" s="6">
        <v>127194.27</v>
      </c>
      <c r="H459" s="6">
        <v>254388.54</v>
      </c>
    </row>
    <row r="460">
      <c r="B460" s="4" t="s">
        <v>1116</v>
      </c>
      <c r="C460" s="4" t="s">
        <v>1117</v>
      </c>
      <c r="D460" s="4" t="s">
        <v>9</v>
      </c>
      <c r="E460" s="4" t="s">
        <v>23</v>
      </c>
      <c r="F460" s="5">
        <v>3.0</v>
      </c>
      <c r="G460" s="6">
        <v>71704.62</v>
      </c>
      <c r="H460" s="6">
        <v>215113.86</v>
      </c>
    </row>
    <row r="461">
      <c r="B461" s="4" t="s">
        <v>1118</v>
      </c>
      <c r="C461" s="4" t="s">
        <v>1119</v>
      </c>
      <c r="D461" s="4" t="s">
        <v>9</v>
      </c>
      <c r="E461" s="4" t="s">
        <v>23</v>
      </c>
      <c r="F461" s="5">
        <v>2.0</v>
      </c>
      <c r="G461" s="6">
        <v>513953.47</v>
      </c>
      <c r="H461" s="6">
        <v>1027906.94</v>
      </c>
    </row>
    <row r="462">
      <c r="B462" s="4" t="s">
        <v>1120</v>
      </c>
      <c r="C462" s="4" t="s">
        <v>1121</v>
      </c>
      <c r="D462" s="4" t="s">
        <v>9</v>
      </c>
      <c r="E462" s="4" t="s">
        <v>23</v>
      </c>
      <c r="F462" s="5">
        <v>2.0</v>
      </c>
      <c r="G462" s="6">
        <v>136893.79</v>
      </c>
      <c r="H462" s="6">
        <v>273787.58</v>
      </c>
    </row>
    <row r="463">
      <c r="B463" s="4" t="s">
        <v>1122</v>
      </c>
      <c r="C463" s="4" t="s">
        <v>1123</v>
      </c>
      <c r="D463" s="4" t="s">
        <v>9</v>
      </c>
      <c r="E463" s="10"/>
      <c r="F463" s="5">
        <v>2.0</v>
      </c>
      <c r="G463" s="6">
        <v>150469.95</v>
      </c>
      <c r="H463" s="6">
        <v>300939.9</v>
      </c>
    </row>
    <row r="464">
      <c r="B464" s="4" t="s">
        <v>1125</v>
      </c>
      <c r="C464" s="4" t="s">
        <v>1126</v>
      </c>
      <c r="D464" s="4" t="s">
        <v>9</v>
      </c>
      <c r="E464" s="4" t="s">
        <v>23</v>
      </c>
      <c r="F464" s="5">
        <v>1.0</v>
      </c>
      <c r="G464" s="6">
        <v>342827.96</v>
      </c>
      <c r="H464" s="6">
        <v>342827.96</v>
      </c>
    </row>
    <row r="465">
      <c r="B465" s="4" t="s">
        <v>1127</v>
      </c>
      <c r="C465" s="4" t="s">
        <v>1128</v>
      </c>
      <c r="D465" s="4" t="s">
        <v>9</v>
      </c>
      <c r="E465" s="4" t="s">
        <v>173</v>
      </c>
      <c r="F465" s="5">
        <v>3.0</v>
      </c>
      <c r="G465" s="6">
        <v>81755.64</v>
      </c>
      <c r="H465" s="6">
        <v>245266.92</v>
      </c>
    </row>
    <row r="466">
      <c r="B466" s="4" t="s">
        <v>1129</v>
      </c>
      <c r="C466" s="4" t="s">
        <v>1130</v>
      </c>
      <c r="D466" s="4" t="s">
        <v>9</v>
      </c>
      <c r="E466" s="4" t="s">
        <v>173</v>
      </c>
      <c r="F466" s="5">
        <v>2.0</v>
      </c>
      <c r="G466" s="6">
        <v>363117.71</v>
      </c>
      <c r="H466" s="6">
        <v>726235.42</v>
      </c>
    </row>
    <row r="467">
      <c r="B467" s="4" t="s">
        <v>1131</v>
      </c>
      <c r="C467" s="4" t="s">
        <v>1132</v>
      </c>
      <c r="D467" s="4" t="s">
        <v>9</v>
      </c>
      <c r="E467" s="10"/>
      <c r="F467" s="5">
        <v>5.0</v>
      </c>
      <c r="G467" s="6">
        <v>47274.61</v>
      </c>
      <c r="H467" s="6">
        <v>236373.05</v>
      </c>
    </row>
    <row r="468">
      <c r="B468" s="19" t="s">
        <v>1134</v>
      </c>
      <c r="C468" s="4" t="s">
        <v>1135</v>
      </c>
      <c r="D468" s="4" t="s">
        <v>9</v>
      </c>
      <c r="E468" s="4" t="s">
        <v>23</v>
      </c>
      <c r="F468" s="5">
        <v>1.0</v>
      </c>
      <c r="G468" s="6">
        <v>234363.04</v>
      </c>
      <c r="H468" s="6">
        <v>234363.04</v>
      </c>
    </row>
    <row r="469">
      <c r="B469" s="4" t="s">
        <v>1136</v>
      </c>
      <c r="C469" s="4" t="s">
        <v>1137</v>
      </c>
      <c r="D469" s="4" t="s">
        <v>9</v>
      </c>
      <c r="E469" s="4" t="s">
        <v>173</v>
      </c>
      <c r="F469" s="5">
        <v>1.0</v>
      </c>
      <c r="G469" s="6">
        <v>424958.92</v>
      </c>
      <c r="H469" s="6">
        <v>424958.92</v>
      </c>
    </row>
    <row r="470">
      <c r="B470" s="19" t="s">
        <v>1138</v>
      </c>
      <c r="C470" s="4" t="s">
        <v>1140</v>
      </c>
      <c r="D470" s="4" t="s">
        <v>9</v>
      </c>
      <c r="E470" s="4" t="s">
        <v>23</v>
      </c>
      <c r="F470" s="5">
        <v>2.0</v>
      </c>
      <c r="G470" s="6">
        <v>320737.3</v>
      </c>
      <c r="H470" s="6">
        <v>641474.6</v>
      </c>
    </row>
    <row r="471">
      <c r="B471" s="4" t="s">
        <v>1141</v>
      </c>
      <c r="C471" s="4" t="s">
        <v>1142</v>
      </c>
      <c r="D471" s="4" t="s">
        <v>9</v>
      </c>
      <c r="E471" s="4" t="s">
        <v>173</v>
      </c>
      <c r="F471" s="5">
        <v>2.0</v>
      </c>
      <c r="G471" s="6">
        <v>205914.12</v>
      </c>
      <c r="H471" s="6">
        <v>411828.24</v>
      </c>
    </row>
    <row r="472">
      <c r="B472" s="4" t="s">
        <v>1143</v>
      </c>
      <c r="C472" s="4" t="s">
        <v>1144</v>
      </c>
      <c r="D472" s="4" t="s">
        <v>9</v>
      </c>
      <c r="E472" s="10"/>
      <c r="F472" s="5">
        <v>1.0</v>
      </c>
      <c r="G472" s="6">
        <v>188952.64</v>
      </c>
      <c r="H472" s="6">
        <v>188952.64</v>
      </c>
    </row>
    <row r="473">
      <c r="B473" s="19" t="s">
        <v>1146</v>
      </c>
      <c r="C473" s="4" t="s">
        <v>1147</v>
      </c>
      <c r="D473" s="4" t="s">
        <v>9</v>
      </c>
      <c r="E473" s="4" t="s">
        <v>23</v>
      </c>
      <c r="F473" s="5">
        <v>1.0</v>
      </c>
      <c r="G473" s="6">
        <v>208074.7</v>
      </c>
      <c r="H473" s="6">
        <v>208074.7</v>
      </c>
    </row>
    <row r="474">
      <c r="B474" s="4" t="s">
        <v>1148</v>
      </c>
      <c r="C474" s="4" t="s">
        <v>1149</v>
      </c>
      <c r="D474" s="4" t="s">
        <v>9</v>
      </c>
      <c r="E474" s="10"/>
      <c r="F474" s="5">
        <v>5.0</v>
      </c>
      <c r="G474" s="6">
        <v>444464.05</v>
      </c>
      <c r="H474" s="6">
        <v>2222320.25</v>
      </c>
    </row>
    <row r="475">
      <c r="B475" s="19" t="s">
        <v>1150</v>
      </c>
      <c r="C475" s="4" t="s">
        <v>1151</v>
      </c>
      <c r="D475" s="4" t="s">
        <v>9</v>
      </c>
      <c r="E475" s="4" t="s">
        <v>23</v>
      </c>
      <c r="F475" s="5">
        <v>1.0</v>
      </c>
      <c r="G475" s="6">
        <v>238244.32</v>
      </c>
      <c r="H475" s="6">
        <v>238244.32</v>
      </c>
    </row>
    <row r="476">
      <c r="B476" s="19" t="s">
        <v>1152</v>
      </c>
      <c r="C476" s="4" t="s">
        <v>1154</v>
      </c>
      <c r="D476" s="4" t="s">
        <v>9</v>
      </c>
      <c r="E476" s="4" t="s">
        <v>23</v>
      </c>
      <c r="F476" s="5">
        <v>1.0</v>
      </c>
      <c r="G476" s="6">
        <v>248003.22</v>
      </c>
      <c r="H476" s="6">
        <v>248003.22</v>
      </c>
    </row>
    <row r="477">
      <c r="B477" s="4" t="s">
        <v>1155</v>
      </c>
      <c r="C477" s="4" t="s">
        <v>1156</v>
      </c>
      <c r="D477" s="4" t="s">
        <v>9</v>
      </c>
      <c r="E477" s="4" t="s">
        <v>23</v>
      </c>
      <c r="F477" s="5">
        <v>2.0</v>
      </c>
      <c r="G477" s="6">
        <v>377674.02</v>
      </c>
      <c r="H477" s="6">
        <v>755348.04</v>
      </c>
    </row>
    <row r="478">
      <c r="B478" s="4" t="s">
        <v>1157</v>
      </c>
      <c r="C478" s="4" t="s">
        <v>1158</v>
      </c>
      <c r="D478" s="4" t="s">
        <v>9</v>
      </c>
      <c r="E478" s="4" t="s">
        <v>23</v>
      </c>
      <c r="F478" s="5">
        <v>4.0</v>
      </c>
      <c r="G478" s="6">
        <v>202230.97</v>
      </c>
      <c r="H478" s="6">
        <v>808923.88</v>
      </c>
    </row>
    <row r="479">
      <c r="B479" s="4" t="s">
        <v>1169</v>
      </c>
      <c r="C479" s="4" t="s">
        <v>1170</v>
      </c>
      <c r="D479" s="4" t="s">
        <v>9</v>
      </c>
      <c r="E479" s="4" t="s">
        <v>23</v>
      </c>
      <c r="F479" s="5">
        <v>2.0</v>
      </c>
      <c r="G479" s="6">
        <v>175261.95</v>
      </c>
      <c r="H479" s="6">
        <v>350523.9</v>
      </c>
    </row>
    <row r="480">
      <c r="B480" s="4" t="s">
        <v>1172</v>
      </c>
      <c r="C480" s="4" t="s">
        <v>1173</v>
      </c>
      <c r="D480" s="4" t="s">
        <v>9</v>
      </c>
      <c r="E480" s="4" t="s">
        <v>23</v>
      </c>
      <c r="F480" s="5">
        <v>3.0</v>
      </c>
      <c r="G480" s="6">
        <v>486014.28</v>
      </c>
      <c r="H480" s="6">
        <v>1458042.84</v>
      </c>
    </row>
    <row r="481">
      <c r="B481" s="4" t="s">
        <v>1174</v>
      </c>
      <c r="C481" s="4" t="s">
        <v>1175</v>
      </c>
      <c r="D481" s="4" t="s">
        <v>9</v>
      </c>
      <c r="E481" s="4" t="s">
        <v>23</v>
      </c>
      <c r="F481" s="5">
        <v>2.0</v>
      </c>
      <c r="G481" s="6">
        <v>135420.44</v>
      </c>
      <c r="H481" s="6">
        <v>270840.88</v>
      </c>
    </row>
    <row r="482">
      <c r="B482" s="4" t="s">
        <v>1176</v>
      </c>
      <c r="C482" s="4" t="s">
        <v>1177</v>
      </c>
      <c r="D482" s="4" t="s">
        <v>9</v>
      </c>
      <c r="E482" s="4" t="s">
        <v>23</v>
      </c>
      <c r="F482" s="5">
        <v>3.0</v>
      </c>
      <c r="G482" s="6">
        <v>509680.18</v>
      </c>
      <c r="H482" s="6">
        <v>1529040.54</v>
      </c>
    </row>
    <row r="483">
      <c r="B483" s="4" t="s">
        <v>1178</v>
      </c>
      <c r="C483" s="4" t="s">
        <v>1179</v>
      </c>
      <c r="D483" s="4" t="s">
        <v>9</v>
      </c>
      <c r="E483" s="4" t="s">
        <v>23</v>
      </c>
      <c r="F483" s="5">
        <v>1.0</v>
      </c>
      <c r="G483" s="6">
        <v>556820.62</v>
      </c>
      <c r="H483" s="6">
        <v>556820.62</v>
      </c>
    </row>
    <row r="484">
      <c r="B484" s="4" t="s">
        <v>1180</v>
      </c>
      <c r="C484" s="4" t="s">
        <v>1181</v>
      </c>
      <c r="D484" s="4" t="s">
        <v>9</v>
      </c>
      <c r="E484" s="4" t="s">
        <v>23</v>
      </c>
      <c r="F484" s="5">
        <v>2.0</v>
      </c>
      <c r="G484" s="6">
        <v>731189.65</v>
      </c>
      <c r="H484" s="6">
        <v>1462379.3</v>
      </c>
    </row>
    <row r="485">
      <c r="B485" s="4" t="s">
        <v>1182</v>
      </c>
      <c r="C485" s="4" t="s">
        <v>1183</v>
      </c>
      <c r="D485" s="4" t="s">
        <v>9</v>
      </c>
      <c r="E485" s="4" t="s">
        <v>23</v>
      </c>
      <c r="F485" s="5">
        <v>1.0</v>
      </c>
      <c r="G485" s="6">
        <v>511583.76</v>
      </c>
      <c r="H485" s="6">
        <v>511583.76</v>
      </c>
    </row>
    <row r="486">
      <c r="B486" s="4" t="s">
        <v>1185</v>
      </c>
      <c r="C486" s="4" t="s">
        <v>1186</v>
      </c>
      <c r="D486" s="4" t="s">
        <v>9</v>
      </c>
      <c r="E486" s="4" t="s">
        <v>23</v>
      </c>
      <c r="F486" s="5">
        <v>1.0</v>
      </c>
      <c r="G486" s="6">
        <v>245085.04</v>
      </c>
      <c r="H486" s="6">
        <v>245085.04</v>
      </c>
    </row>
    <row r="487">
      <c r="B487" s="4" t="s">
        <v>1187</v>
      </c>
      <c r="C487" s="4" t="s">
        <v>1188</v>
      </c>
      <c r="D487" s="4" t="s">
        <v>9</v>
      </c>
      <c r="E487" s="10"/>
      <c r="F487" s="5">
        <v>6.0</v>
      </c>
      <c r="G487" s="6">
        <v>51331.66</v>
      </c>
      <c r="H487" s="6">
        <v>307989.96</v>
      </c>
    </row>
    <row r="488">
      <c r="B488" s="4" t="s">
        <v>1189</v>
      </c>
      <c r="C488" s="4" t="s">
        <v>1191</v>
      </c>
      <c r="D488" s="4" t="s">
        <v>9</v>
      </c>
      <c r="E488" s="4" t="s">
        <v>23</v>
      </c>
      <c r="F488" s="5">
        <v>1.0</v>
      </c>
      <c r="G488" s="6">
        <v>573391.1</v>
      </c>
      <c r="H488" s="6">
        <v>573391.1</v>
      </c>
    </row>
    <row r="489">
      <c r="B489" s="4" t="s">
        <v>1192</v>
      </c>
      <c r="C489" s="4" t="s">
        <v>1193</v>
      </c>
      <c r="D489" s="4" t="s">
        <v>9</v>
      </c>
      <c r="E489" s="4" t="s">
        <v>23</v>
      </c>
      <c r="F489" s="5">
        <v>2.0</v>
      </c>
      <c r="G489" s="6">
        <v>130999.18</v>
      </c>
      <c r="H489" s="6">
        <v>261998.36</v>
      </c>
    </row>
    <row r="490">
      <c r="B490" s="4" t="s">
        <v>1194</v>
      </c>
      <c r="C490" s="4" t="s">
        <v>1195</v>
      </c>
      <c r="D490" s="4" t="s">
        <v>9</v>
      </c>
      <c r="E490" s="4" t="s">
        <v>23</v>
      </c>
      <c r="F490" s="5">
        <v>3.0</v>
      </c>
      <c r="G490" s="6">
        <v>220199.24</v>
      </c>
      <c r="H490" s="6">
        <v>660597.72</v>
      </c>
    </row>
    <row r="491">
      <c r="B491" s="4" t="s">
        <v>1196</v>
      </c>
      <c r="C491" s="4" t="s">
        <v>1197</v>
      </c>
      <c r="D491" s="4" t="s">
        <v>9</v>
      </c>
      <c r="E491" s="4" t="s">
        <v>23</v>
      </c>
      <c r="F491" s="5">
        <v>6.0</v>
      </c>
      <c r="G491" s="6">
        <v>167012.87</v>
      </c>
      <c r="H491" s="6">
        <v>1002077.22</v>
      </c>
    </row>
    <row r="492">
      <c r="B492" s="4" t="s">
        <v>1198</v>
      </c>
      <c r="C492" s="4" t="s">
        <v>1199</v>
      </c>
      <c r="D492" s="4" t="s">
        <v>9</v>
      </c>
      <c r="E492" s="4" t="s">
        <v>23</v>
      </c>
      <c r="F492" s="5">
        <v>2.0</v>
      </c>
      <c r="G492" s="6">
        <v>160043.33</v>
      </c>
      <c r="H492" s="6">
        <v>320086.66</v>
      </c>
    </row>
    <row r="493">
      <c r="B493" s="4" t="s">
        <v>1200</v>
      </c>
      <c r="C493" s="4" t="s">
        <v>1201</v>
      </c>
      <c r="D493" s="4" t="s">
        <v>9</v>
      </c>
      <c r="E493" s="4" t="s">
        <v>23</v>
      </c>
      <c r="F493" s="5">
        <v>1.0</v>
      </c>
      <c r="G493" s="6">
        <v>195477.46</v>
      </c>
      <c r="H493" s="6">
        <v>195477.46</v>
      </c>
    </row>
    <row r="494">
      <c r="B494" s="4" t="s">
        <v>1203</v>
      </c>
      <c r="C494" s="4" t="s">
        <v>1204</v>
      </c>
      <c r="D494" s="4" t="s">
        <v>9</v>
      </c>
      <c r="E494" s="4" t="s">
        <v>23</v>
      </c>
      <c r="F494" s="5">
        <v>4.0</v>
      </c>
      <c r="G494" s="6">
        <v>123265.99</v>
      </c>
      <c r="H494" s="6">
        <v>493063.96</v>
      </c>
    </row>
    <row r="495">
      <c r="B495" s="4" t="s">
        <v>1205</v>
      </c>
      <c r="C495" s="4" t="s">
        <v>1206</v>
      </c>
      <c r="D495" s="4" t="s">
        <v>9</v>
      </c>
      <c r="E495" s="4" t="s">
        <v>23</v>
      </c>
      <c r="F495" s="5">
        <v>1.0</v>
      </c>
      <c r="G495" s="6">
        <v>176260.5</v>
      </c>
      <c r="H495" s="6">
        <v>176260.5</v>
      </c>
    </row>
    <row r="496">
      <c r="B496" s="4" t="s">
        <v>1207</v>
      </c>
      <c r="C496" s="4" t="s">
        <v>1208</v>
      </c>
      <c r="D496" s="4" t="s">
        <v>9</v>
      </c>
      <c r="E496" s="4" t="s">
        <v>23</v>
      </c>
      <c r="F496" s="5">
        <v>4.0</v>
      </c>
      <c r="G496" s="6">
        <v>93560.23</v>
      </c>
      <c r="H496" s="6">
        <v>374240.92</v>
      </c>
    </row>
    <row r="497">
      <c r="B497" s="4" t="s">
        <v>1210</v>
      </c>
      <c r="C497" s="4" t="s">
        <v>1211</v>
      </c>
      <c r="D497" s="4" t="s">
        <v>9</v>
      </c>
      <c r="E497" s="4" t="s">
        <v>23</v>
      </c>
      <c r="F497" s="5">
        <v>2.0</v>
      </c>
      <c r="G497" s="6">
        <v>194389.28</v>
      </c>
      <c r="H497" s="6">
        <v>388778.56</v>
      </c>
    </row>
    <row r="498">
      <c r="B498" s="4" t="s">
        <v>1212</v>
      </c>
      <c r="C498" s="4" t="s">
        <v>1213</v>
      </c>
      <c r="D498" s="4" t="s">
        <v>9</v>
      </c>
      <c r="E498" s="10"/>
      <c r="F498" s="5">
        <v>2.0</v>
      </c>
      <c r="G498" s="6">
        <v>136102.46</v>
      </c>
      <c r="H498" s="6">
        <v>272204.92</v>
      </c>
    </row>
    <row r="499">
      <c r="B499" s="4" t="s">
        <v>1214</v>
      </c>
      <c r="C499" s="4" t="s">
        <v>1215</v>
      </c>
      <c r="D499" s="4" t="s">
        <v>9</v>
      </c>
      <c r="E499" s="4" t="s">
        <v>23</v>
      </c>
      <c r="F499" s="5">
        <v>1.0</v>
      </c>
      <c r="G499" s="6">
        <v>948129.69</v>
      </c>
      <c r="H499" s="6">
        <v>948129.69</v>
      </c>
    </row>
    <row r="500">
      <c r="B500" s="4" t="s">
        <v>1216</v>
      </c>
      <c r="C500" s="4" t="s">
        <v>1217</v>
      </c>
      <c r="D500" s="4" t="s">
        <v>9</v>
      </c>
      <c r="E500" s="4" t="s">
        <v>23</v>
      </c>
      <c r="F500" s="5">
        <v>6.0</v>
      </c>
      <c r="G500" s="6">
        <v>67399.67</v>
      </c>
      <c r="H500" s="6">
        <v>404398.02</v>
      </c>
    </row>
    <row r="501">
      <c r="B501" s="4" t="s">
        <v>1218</v>
      </c>
      <c r="C501" s="4" t="s">
        <v>1219</v>
      </c>
      <c r="D501" s="4" t="s">
        <v>9</v>
      </c>
      <c r="E501" s="4" t="s">
        <v>23</v>
      </c>
      <c r="F501" s="5">
        <v>4.0</v>
      </c>
      <c r="G501" s="6">
        <v>61328.26</v>
      </c>
      <c r="H501" s="6">
        <v>245313.04</v>
      </c>
    </row>
    <row r="502">
      <c r="B502" s="4" t="s">
        <v>1220</v>
      </c>
      <c r="C502" s="4" t="s">
        <v>1221</v>
      </c>
      <c r="D502" s="4" t="s">
        <v>9</v>
      </c>
      <c r="E502" s="4" t="s">
        <v>23</v>
      </c>
      <c r="F502" s="5">
        <v>1.0</v>
      </c>
      <c r="G502" s="6">
        <v>211054.39</v>
      </c>
      <c r="H502" s="6">
        <v>211054.39</v>
      </c>
    </row>
    <row r="503">
      <c r="B503" s="4" t="s">
        <v>1223</v>
      </c>
      <c r="C503" s="4" t="s">
        <v>1224</v>
      </c>
      <c r="D503" s="4" t="s">
        <v>9</v>
      </c>
      <c r="E503" s="4" t="s">
        <v>23</v>
      </c>
      <c r="F503" s="5">
        <v>2.0</v>
      </c>
      <c r="G503" s="6">
        <v>258195.98</v>
      </c>
      <c r="H503" s="6">
        <v>516391.96</v>
      </c>
    </row>
    <row r="504">
      <c r="B504" s="4" t="s">
        <v>1225</v>
      </c>
      <c r="C504" s="4" t="s">
        <v>1226</v>
      </c>
      <c r="D504" s="4" t="s">
        <v>9</v>
      </c>
      <c r="E504" s="4" t="s">
        <v>23</v>
      </c>
      <c r="F504" s="5">
        <v>1.0</v>
      </c>
      <c r="G504" s="6">
        <v>487730.97</v>
      </c>
      <c r="H504" s="6">
        <v>487730.97</v>
      </c>
    </row>
    <row r="505">
      <c r="B505" s="4" t="s">
        <v>1227</v>
      </c>
      <c r="C505" s="4" t="s">
        <v>1228</v>
      </c>
      <c r="D505" s="4" t="s">
        <v>9</v>
      </c>
      <c r="E505" s="4" t="s">
        <v>23</v>
      </c>
      <c r="F505" s="5">
        <v>2.0</v>
      </c>
      <c r="G505" s="6">
        <v>212938.9</v>
      </c>
      <c r="H505" s="6">
        <v>425877.8</v>
      </c>
    </row>
    <row r="506">
      <c r="B506" s="4" t="s">
        <v>1229</v>
      </c>
      <c r="C506" s="4" t="s">
        <v>1230</v>
      </c>
      <c r="D506" s="4" t="s">
        <v>9</v>
      </c>
      <c r="E506" s="4" t="s">
        <v>23</v>
      </c>
      <c r="F506" s="5">
        <v>1.0</v>
      </c>
      <c r="G506" s="6">
        <v>1828983.52</v>
      </c>
      <c r="H506" s="6">
        <v>1828983.52</v>
      </c>
    </row>
    <row r="507">
      <c r="B507" s="4" t="s">
        <v>1232</v>
      </c>
      <c r="C507" s="4" t="s">
        <v>1233</v>
      </c>
      <c r="D507" s="4" t="s">
        <v>9</v>
      </c>
      <c r="E507" s="4" t="s">
        <v>173</v>
      </c>
      <c r="F507" s="5">
        <v>3.0</v>
      </c>
      <c r="G507" s="6">
        <v>91161.28</v>
      </c>
      <c r="H507" s="6">
        <v>273483.84</v>
      </c>
    </row>
    <row r="508">
      <c r="B508" s="4" t="s">
        <v>1234</v>
      </c>
      <c r="C508" s="4" t="s">
        <v>1235</v>
      </c>
      <c r="D508" s="4" t="s">
        <v>9</v>
      </c>
      <c r="E508" s="4" t="s">
        <v>23</v>
      </c>
      <c r="F508" s="5">
        <v>1.0</v>
      </c>
      <c r="G508" s="6">
        <v>1310880.63</v>
      </c>
      <c r="H508" s="6">
        <v>1310880.63</v>
      </c>
    </row>
    <row r="509">
      <c r="B509" s="4" t="s">
        <v>1236</v>
      </c>
      <c r="C509" s="4" t="s">
        <v>1237</v>
      </c>
      <c r="D509" s="4" t="s">
        <v>9</v>
      </c>
      <c r="E509" s="4" t="s">
        <v>23</v>
      </c>
      <c r="F509" s="5">
        <v>2.0</v>
      </c>
      <c r="G509" s="6">
        <v>94229.79</v>
      </c>
      <c r="H509" s="6">
        <v>188459.58</v>
      </c>
    </row>
    <row r="510">
      <c r="B510" s="4" t="s">
        <v>1238</v>
      </c>
      <c r="C510" s="4" t="s">
        <v>1239</v>
      </c>
      <c r="D510" s="4" t="s">
        <v>9</v>
      </c>
      <c r="E510" s="4" t="s">
        <v>23</v>
      </c>
      <c r="F510" s="5">
        <v>1.0</v>
      </c>
      <c r="G510" s="6">
        <v>339634.54</v>
      </c>
      <c r="H510" s="6">
        <v>339634.54</v>
      </c>
    </row>
    <row r="511">
      <c r="B511" s="4" t="s">
        <v>1241</v>
      </c>
      <c r="C511" s="4" t="s">
        <v>1242</v>
      </c>
      <c r="D511" s="4" t="s">
        <v>9</v>
      </c>
      <c r="E511" s="10"/>
      <c r="F511" s="5">
        <v>1.0</v>
      </c>
      <c r="G511" s="6">
        <v>716289.03</v>
      </c>
      <c r="H511" s="6">
        <v>716289.03</v>
      </c>
    </row>
    <row r="512">
      <c r="B512" s="4" t="s">
        <v>1243</v>
      </c>
      <c r="C512" s="4" t="s">
        <v>1244</v>
      </c>
      <c r="D512" s="4" t="s">
        <v>9</v>
      </c>
      <c r="E512" s="4" t="s">
        <v>23</v>
      </c>
      <c r="F512" s="5">
        <v>3.0</v>
      </c>
      <c r="G512" s="6">
        <v>72271.34</v>
      </c>
      <c r="H512" s="6">
        <v>216814.02</v>
      </c>
    </row>
    <row r="513">
      <c r="B513" s="4" t="s">
        <v>1245</v>
      </c>
      <c r="C513" s="4" t="s">
        <v>1246</v>
      </c>
      <c r="D513" s="4" t="s">
        <v>9</v>
      </c>
      <c r="E513" s="4" t="s">
        <v>23</v>
      </c>
      <c r="F513" s="5">
        <v>1.0</v>
      </c>
      <c r="G513" s="6">
        <v>176643.35</v>
      </c>
      <c r="H513" s="6">
        <v>176643.35</v>
      </c>
    </row>
    <row r="514">
      <c r="B514" s="4" t="s">
        <v>1247</v>
      </c>
      <c r="C514" s="4" t="s">
        <v>1248</v>
      </c>
      <c r="D514" s="4" t="s">
        <v>9</v>
      </c>
      <c r="E514" s="4" t="s">
        <v>23</v>
      </c>
      <c r="F514" s="5">
        <v>2.0</v>
      </c>
      <c r="G514" s="6">
        <v>135755.88</v>
      </c>
      <c r="H514" s="6">
        <v>271511.76</v>
      </c>
    </row>
    <row r="515">
      <c r="B515" s="4" t="s">
        <v>1250</v>
      </c>
      <c r="C515" s="4" t="s">
        <v>1251</v>
      </c>
      <c r="D515" s="4" t="s">
        <v>9</v>
      </c>
      <c r="E515" s="4" t="s">
        <v>23</v>
      </c>
      <c r="F515" s="5">
        <v>1.0</v>
      </c>
      <c r="G515" s="6">
        <v>297458.11</v>
      </c>
      <c r="H515" s="6">
        <v>297458.11</v>
      </c>
    </row>
    <row r="516">
      <c r="B516" s="19" t="s">
        <v>1252</v>
      </c>
      <c r="C516" s="4" t="s">
        <v>1253</v>
      </c>
      <c r="D516" s="4" t="s">
        <v>9</v>
      </c>
      <c r="E516" s="4" t="s">
        <v>23</v>
      </c>
      <c r="F516" s="5">
        <v>1.0</v>
      </c>
      <c r="G516" s="6">
        <v>188291.76</v>
      </c>
      <c r="H516" s="6">
        <v>188291.76</v>
      </c>
    </row>
    <row r="517">
      <c r="B517" s="4" t="s">
        <v>1255</v>
      </c>
      <c r="C517" s="4" t="s">
        <v>1256</v>
      </c>
      <c r="D517" s="4" t="s">
        <v>9</v>
      </c>
      <c r="E517" s="4" t="s">
        <v>23</v>
      </c>
      <c r="F517" s="5">
        <v>1.0</v>
      </c>
      <c r="G517" s="6">
        <v>335334.44</v>
      </c>
      <c r="H517" s="6">
        <v>335334.44</v>
      </c>
    </row>
    <row r="518">
      <c r="B518" s="4" t="s">
        <v>1257</v>
      </c>
      <c r="C518" s="4" t="s">
        <v>1258</v>
      </c>
      <c r="D518" s="4" t="s">
        <v>9</v>
      </c>
      <c r="E518" s="4" t="s">
        <v>23</v>
      </c>
      <c r="F518" s="5">
        <v>1.0</v>
      </c>
      <c r="G518" s="6">
        <v>669071.37</v>
      </c>
      <c r="H518" s="6">
        <v>669071.37</v>
      </c>
    </row>
    <row r="519">
      <c r="B519" s="4" t="s">
        <v>1259</v>
      </c>
      <c r="C519" s="4" t="s">
        <v>1260</v>
      </c>
      <c r="D519" s="4" t="s">
        <v>9</v>
      </c>
      <c r="E519" s="4" t="s">
        <v>23</v>
      </c>
      <c r="F519" s="5">
        <v>2.0</v>
      </c>
      <c r="G519" s="6">
        <v>108856.68</v>
      </c>
      <c r="H519" s="6">
        <v>217713.36</v>
      </c>
    </row>
    <row r="520">
      <c r="B520" s="4" t="s">
        <v>1261</v>
      </c>
      <c r="C520" s="4" t="s">
        <v>1262</v>
      </c>
      <c r="D520" s="4" t="s">
        <v>9</v>
      </c>
      <c r="E520" s="4" t="s">
        <v>23</v>
      </c>
      <c r="F520" s="5">
        <v>1.0</v>
      </c>
      <c r="G520" s="6">
        <v>202101.6</v>
      </c>
      <c r="H520" s="6">
        <v>202101.6</v>
      </c>
    </row>
    <row r="521">
      <c r="B521" s="4" t="s">
        <v>1263</v>
      </c>
      <c r="C521" s="4" t="s">
        <v>1264</v>
      </c>
      <c r="D521" s="4" t="s">
        <v>9</v>
      </c>
      <c r="E521" s="4" t="s">
        <v>23</v>
      </c>
      <c r="F521" s="5">
        <v>2.0</v>
      </c>
      <c r="G521" s="6">
        <v>143457.13</v>
      </c>
      <c r="H521" s="6">
        <v>286914.26</v>
      </c>
    </row>
    <row r="522">
      <c r="B522" s="4" t="s">
        <v>1265</v>
      </c>
      <c r="C522" s="4" t="s">
        <v>1266</v>
      </c>
      <c r="D522" s="4" t="s">
        <v>9</v>
      </c>
      <c r="E522" s="4" t="s">
        <v>23</v>
      </c>
      <c r="F522" s="5">
        <v>1.0</v>
      </c>
      <c r="G522" s="6">
        <v>4010731.29</v>
      </c>
      <c r="H522" s="6">
        <v>4010731.29</v>
      </c>
    </row>
    <row r="523">
      <c r="B523" s="19" t="s">
        <v>1267</v>
      </c>
      <c r="C523" s="4" t="s">
        <v>1269</v>
      </c>
      <c r="D523" s="4" t="s">
        <v>9</v>
      </c>
      <c r="E523" s="4" t="s">
        <v>23</v>
      </c>
      <c r="F523" s="5">
        <v>2.0</v>
      </c>
      <c r="G523" s="6">
        <v>141407.93</v>
      </c>
      <c r="H523" s="6">
        <v>282815.86</v>
      </c>
    </row>
    <row r="524">
      <c r="B524" s="19" t="s">
        <v>1270</v>
      </c>
      <c r="C524" s="4" t="s">
        <v>1271</v>
      </c>
      <c r="D524" s="4" t="s">
        <v>9</v>
      </c>
      <c r="E524" s="4" t="s">
        <v>23</v>
      </c>
      <c r="F524" s="5">
        <v>2.0</v>
      </c>
      <c r="G524" s="6">
        <v>130262.63</v>
      </c>
      <c r="H524" s="6">
        <v>260525.26</v>
      </c>
    </row>
    <row r="525">
      <c r="B525" s="19" t="s">
        <v>1272</v>
      </c>
      <c r="C525" s="4" t="s">
        <v>1273</v>
      </c>
      <c r="D525" s="4" t="s">
        <v>9</v>
      </c>
      <c r="E525" s="4" t="s">
        <v>23</v>
      </c>
      <c r="F525" s="5">
        <v>2.0</v>
      </c>
      <c r="G525" s="6">
        <v>163726.25</v>
      </c>
      <c r="H525" s="6">
        <v>327452.5</v>
      </c>
    </row>
    <row r="526">
      <c r="B526" s="4" t="s">
        <v>1274</v>
      </c>
      <c r="C526" s="4" t="s">
        <v>1275</v>
      </c>
      <c r="D526" s="4" t="s">
        <v>9</v>
      </c>
      <c r="E526" s="4" t="s">
        <v>23</v>
      </c>
      <c r="F526" s="5">
        <v>3.0</v>
      </c>
      <c r="G526" s="6">
        <v>119219.48</v>
      </c>
      <c r="H526" s="6">
        <v>357658.44</v>
      </c>
    </row>
    <row r="527">
      <c r="B527" s="19" t="s">
        <v>1276</v>
      </c>
      <c r="C527" s="4" t="s">
        <v>1277</v>
      </c>
      <c r="D527" s="4" t="s">
        <v>9</v>
      </c>
      <c r="E527" s="4" t="s">
        <v>23</v>
      </c>
      <c r="F527" s="5">
        <v>4.0</v>
      </c>
      <c r="G527" s="6">
        <v>469655.7</v>
      </c>
      <c r="H527" s="6">
        <v>1878622.8</v>
      </c>
    </row>
    <row r="528">
      <c r="B528" s="19" t="s">
        <v>1278</v>
      </c>
      <c r="C528" s="4" t="s">
        <v>1280</v>
      </c>
      <c r="D528" s="4" t="s">
        <v>9</v>
      </c>
      <c r="E528" s="4" t="s">
        <v>23</v>
      </c>
      <c r="F528" s="5">
        <v>2.0</v>
      </c>
      <c r="G528" s="6">
        <v>143670.13</v>
      </c>
      <c r="H528" s="6">
        <v>287340.26</v>
      </c>
    </row>
    <row r="529">
      <c r="B529" s="19" t="s">
        <v>1281</v>
      </c>
      <c r="C529" s="4" t="s">
        <v>1282</v>
      </c>
      <c r="D529" s="4" t="s">
        <v>9</v>
      </c>
      <c r="E529" s="4" t="s">
        <v>23</v>
      </c>
      <c r="F529" s="5">
        <v>2.0</v>
      </c>
      <c r="G529" s="6">
        <v>106816.97</v>
      </c>
      <c r="H529" s="6">
        <v>213633.94</v>
      </c>
    </row>
    <row r="530">
      <c r="B530" s="19" t="s">
        <v>1283</v>
      </c>
      <c r="C530" s="4" t="s">
        <v>1284</v>
      </c>
      <c r="D530" s="4" t="s">
        <v>9</v>
      </c>
      <c r="E530" s="4" t="s">
        <v>23</v>
      </c>
      <c r="F530" s="5">
        <v>4.0</v>
      </c>
      <c r="G530" s="6">
        <v>56424.89</v>
      </c>
      <c r="H530" s="6">
        <v>225699.56</v>
      </c>
    </row>
    <row r="531">
      <c r="B531" s="19" t="s">
        <v>1285</v>
      </c>
      <c r="C531" s="4" t="s">
        <v>1286</v>
      </c>
      <c r="D531" s="4" t="s">
        <v>9</v>
      </c>
      <c r="E531" s="4" t="s">
        <v>23</v>
      </c>
      <c r="F531" s="5">
        <v>2.0</v>
      </c>
      <c r="G531" s="6">
        <v>127292.51</v>
      </c>
      <c r="H531" s="6">
        <v>254585.02</v>
      </c>
    </row>
    <row r="532">
      <c r="B532" s="19" t="s">
        <v>1287</v>
      </c>
      <c r="C532" s="4" t="s">
        <v>1288</v>
      </c>
      <c r="D532" s="4" t="s">
        <v>9</v>
      </c>
      <c r="E532" s="4" t="s">
        <v>23</v>
      </c>
      <c r="F532" s="5">
        <v>2.0</v>
      </c>
      <c r="G532" s="6">
        <v>92647.39</v>
      </c>
      <c r="H532" s="6">
        <v>185294.78</v>
      </c>
    </row>
    <row r="533">
      <c r="B533" s="19" t="s">
        <v>1289</v>
      </c>
      <c r="C533" s="4" t="s">
        <v>1291</v>
      </c>
      <c r="D533" s="4" t="s">
        <v>9</v>
      </c>
      <c r="E533" s="4" t="s">
        <v>23</v>
      </c>
      <c r="F533" s="5">
        <v>2.0</v>
      </c>
      <c r="G533" s="6">
        <v>114699.13</v>
      </c>
      <c r="H533" s="6">
        <v>229398.26</v>
      </c>
    </row>
    <row r="534">
      <c r="B534" s="4" t="s">
        <v>1292</v>
      </c>
      <c r="C534" s="4" t="s">
        <v>1293</v>
      </c>
      <c r="D534" s="4" t="s">
        <v>9</v>
      </c>
      <c r="E534" s="4" t="s">
        <v>23</v>
      </c>
      <c r="F534" s="5">
        <v>3.0</v>
      </c>
      <c r="G534" s="6">
        <v>201230.31</v>
      </c>
      <c r="H534" s="6">
        <v>603690.93</v>
      </c>
    </row>
    <row r="535">
      <c r="B535" s="4" t="s">
        <v>1294</v>
      </c>
      <c r="C535" s="4" t="s">
        <v>1295</v>
      </c>
      <c r="D535" s="4" t="s">
        <v>9</v>
      </c>
      <c r="E535" s="4" t="s">
        <v>23</v>
      </c>
      <c r="F535" s="5">
        <v>2.0</v>
      </c>
      <c r="G535" s="6">
        <v>105783.09</v>
      </c>
      <c r="H535" s="6">
        <v>211566.18</v>
      </c>
    </row>
    <row r="536">
      <c r="B536" s="4" t="s">
        <v>1296</v>
      </c>
      <c r="C536" s="4" t="s">
        <v>1297</v>
      </c>
      <c r="D536" s="4" t="s">
        <v>9</v>
      </c>
      <c r="E536" s="4" t="s">
        <v>23</v>
      </c>
      <c r="F536" s="5">
        <v>2.0</v>
      </c>
      <c r="G536" s="6">
        <v>94844.58</v>
      </c>
      <c r="H536" s="6">
        <v>189689.16</v>
      </c>
    </row>
    <row r="537">
      <c r="B537" s="19" t="s">
        <v>1298</v>
      </c>
      <c r="C537" s="4" t="s">
        <v>1299</v>
      </c>
      <c r="D537" s="4" t="s">
        <v>9</v>
      </c>
      <c r="E537" s="4" t="s">
        <v>23</v>
      </c>
      <c r="F537" s="5">
        <v>1.0</v>
      </c>
      <c r="G537" s="6">
        <v>288087.96</v>
      </c>
      <c r="H537" s="6">
        <v>288087.96</v>
      </c>
    </row>
    <row r="538">
      <c r="B538" s="4" t="s">
        <v>1300</v>
      </c>
      <c r="C538" s="4" t="s">
        <v>1301</v>
      </c>
      <c r="D538" s="4" t="s">
        <v>9</v>
      </c>
      <c r="E538" s="4" t="s">
        <v>23</v>
      </c>
      <c r="F538" s="5">
        <v>1.0</v>
      </c>
      <c r="G538" s="6">
        <v>580326.04</v>
      </c>
      <c r="H538" s="6">
        <v>580326.04</v>
      </c>
    </row>
    <row r="539">
      <c r="B539" s="4" t="s">
        <v>1302</v>
      </c>
      <c r="C539" s="4" t="s">
        <v>1303</v>
      </c>
      <c r="D539" s="4" t="s">
        <v>9</v>
      </c>
      <c r="E539" s="4" t="s">
        <v>23</v>
      </c>
      <c r="F539" s="5">
        <v>2.0</v>
      </c>
      <c r="G539" s="6">
        <v>220780.59</v>
      </c>
      <c r="H539" s="6">
        <v>441561.18</v>
      </c>
    </row>
    <row r="540">
      <c r="B540" s="4" t="s">
        <v>1305</v>
      </c>
      <c r="C540" s="4" t="s">
        <v>1306</v>
      </c>
      <c r="D540" s="4" t="s">
        <v>9</v>
      </c>
      <c r="E540" s="4" t="s">
        <v>23</v>
      </c>
      <c r="F540" s="5">
        <v>3.0</v>
      </c>
      <c r="G540" s="6">
        <v>293430.17</v>
      </c>
      <c r="H540" s="6">
        <v>880290.51</v>
      </c>
    </row>
    <row r="541">
      <c r="B541" s="4" t="s">
        <v>1307</v>
      </c>
      <c r="C541" s="4" t="s">
        <v>1308</v>
      </c>
      <c r="D541" s="4" t="s">
        <v>9</v>
      </c>
      <c r="E541" s="4" t="s">
        <v>173</v>
      </c>
      <c r="F541" s="5">
        <v>2.0</v>
      </c>
      <c r="G541" s="6">
        <v>245351.19</v>
      </c>
      <c r="H541" s="6">
        <v>490702.38</v>
      </c>
    </row>
    <row r="542">
      <c r="B542" s="4" t="s">
        <v>1309</v>
      </c>
      <c r="C542" s="4" t="s">
        <v>1310</v>
      </c>
      <c r="D542" s="4" t="s">
        <v>9</v>
      </c>
      <c r="E542" s="4" t="s">
        <v>173</v>
      </c>
      <c r="F542" s="5">
        <v>6.0</v>
      </c>
      <c r="G542" s="6">
        <v>49576.56</v>
      </c>
      <c r="H542" s="6">
        <v>297459.36</v>
      </c>
    </row>
    <row r="543">
      <c r="B543" s="4" t="s">
        <v>1311</v>
      </c>
      <c r="C543" s="4" t="s">
        <v>1312</v>
      </c>
      <c r="D543" s="4" t="s">
        <v>9</v>
      </c>
      <c r="E543" s="4" t="s">
        <v>173</v>
      </c>
      <c r="F543" s="5">
        <v>6.0</v>
      </c>
      <c r="G543" s="6">
        <v>49576.56</v>
      </c>
      <c r="H543" s="6">
        <v>297459.36</v>
      </c>
    </row>
    <row r="544">
      <c r="B544" s="4" t="s">
        <v>1313</v>
      </c>
      <c r="C544" s="4" t="s">
        <v>1314</v>
      </c>
      <c r="D544" s="4" t="s">
        <v>9</v>
      </c>
      <c r="E544" s="4" t="s">
        <v>173</v>
      </c>
      <c r="F544" s="5">
        <v>2.0</v>
      </c>
      <c r="G544" s="6">
        <v>193659.11</v>
      </c>
      <c r="H544" s="6">
        <v>387318.22</v>
      </c>
    </row>
    <row r="545">
      <c r="B545" s="19" t="s">
        <v>1315</v>
      </c>
      <c r="C545" s="4" t="s">
        <v>1316</v>
      </c>
      <c r="D545" s="4" t="s">
        <v>9</v>
      </c>
      <c r="E545" s="4" t="s">
        <v>23</v>
      </c>
      <c r="F545" s="5">
        <v>1.0</v>
      </c>
      <c r="G545" s="6">
        <v>1025453.58</v>
      </c>
      <c r="H545" s="6">
        <v>1025453.58</v>
      </c>
    </row>
    <row r="546">
      <c r="B546" s="19" t="s">
        <v>1317</v>
      </c>
      <c r="C546" s="4" t="s">
        <v>1319</v>
      </c>
      <c r="D546" s="4" t="s">
        <v>9</v>
      </c>
      <c r="E546" s="4" t="s">
        <v>23</v>
      </c>
      <c r="F546" s="5">
        <v>1.0</v>
      </c>
      <c r="G546" s="6">
        <v>213202.33</v>
      </c>
      <c r="H546" s="6">
        <v>213202.33</v>
      </c>
    </row>
    <row r="547">
      <c r="B547" s="4" t="s">
        <v>1320</v>
      </c>
      <c r="C547" s="4" t="s">
        <v>1321</v>
      </c>
      <c r="D547" s="4" t="s">
        <v>9</v>
      </c>
      <c r="E547" s="4" t="s">
        <v>173</v>
      </c>
      <c r="F547" s="5">
        <v>3.0</v>
      </c>
      <c r="G547" s="6">
        <v>65281.59</v>
      </c>
      <c r="H547" s="6">
        <v>195844.77</v>
      </c>
    </row>
    <row r="548">
      <c r="B548" s="4" t="s">
        <v>1322</v>
      </c>
      <c r="C548" s="4" t="s">
        <v>1323</v>
      </c>
      <c r="D548" s="4" t="s">
        <v>9</v>
      </c>
      <c r="E548" s="4" t="s">
        <v>23</v>
      </c>
      <c r="F548" s="5">
        <v>3.0</v>
      </c>
      <c r="G548" s="6">
        <v>122216.82</v>
      </c>
      <c r="H548" s="6">
        <v>366650.46</v>
      </c>
    </row>
    <row r="549">
      <c r="B549" s="4" t="s">
        <v>1324</v>
      </c>
      <c r="C549" s="4" t="s">
        <v>1325</v>
      </c>
      <c r="D549" s="4" t="s">
        <v>9</v>
      </c>
      <c r="E549" s="4" t="s">
        <v>173</v>
      </c>
      <c r="F549" s="5">
        <v>2.0</v>
      </c>
      <c r="G549" s="6">
        <v>354489.52</v>
      </c>
      <c r="H549" s="6">
        <v>708979.04</v>
      </c>
    </row>
    <row r="550">
      <c r="B550" s="4" t="s">
        <v>1326</v>
      </c>
      <c r="C550" s="4" t="s">
        <v>1327</v>
      </c>
      <c r="D550" s="4" t="s">
        <v>9</v>
      </c>
      <c r="E550" s="4" t="s">
        <v>173</v>
      </c>
      <c r="F550" s="5">
        <v>1.0</v>
      </c>
      <c r="G550" s="6">
        <v>585698.67</v>
      </c>
      <c r="H550" s="6">
        <v>585698.67</v>
      </c>
    </row>
    <row r="551">
      <c r="B551" s="4" t="s">
        <v>1328</v>
      </c>
      <c r="C551" s="4" t="s">
        <v>1329</v>
      </c>
      <c r="D551" s="4" t="s">
        <v>9</v>
      </c>
      <c r="E551" s="4" t="s">
        <v>23</v>
      </c>
      <c r="F551" s="5">
        <v>1.0</v>
      </c>
      <c r="G551" s="6">
        <v>261101.72</v>
      </c>
      <c r="H551" s="6">
        <v>261101.72</v>
      </c>
    </row>
    <row r="552">
      <c r="B552" s="4" t="s">
        <v>1330</v>
      </c>
      <c r="C552" s="4" t="s">
        <v>1331</v>
      </c>
      <c r="D552" s="4" t="s">
        <v>9</v>
      </c>
      <c r="E552" s="4" t="s">
        <v>23</v>
      </c>
      <c r="F552" s="5">
        <v>1.0</v>
      </c>
      <c r="G552" s="6">
        <v>218646.16</v>
      </c>
      <c r="H552" s="6">
        <v>218646.16</v>
      </c>
    </row>
    <row r="553">
      <c r="B553" s="4" t="s">
        <v>1332</v>
      </c>
      <c r="C553" s="4" t="s">
        <v>1333</v>
      </c>
      <c r="D553" s="4" t="s">
        <v>9</v>
      </c>
      <c r="E553" s="4" t="s">
        <v>23</v>
      </c>
      <c r="F553" s="5">
        <v>1.0</v>
      </c>
      <c r="G553" s="6">
        <v>304618.68</v>
      </c>
      <c r="H553" s="6">
        <v>304618.68</v>
      </c>
    </row>
    <row r="554">
      <c r="B554" s="4" t="s">
        <v>1335</v>
      </c>
      <c r="C554" s="4" t="s">
        <v>1336</v>
      </c>
      <c r="D554" s="4" t="s">
        <v>9</v>
      </c>
      <c r="E554" s="4" t="s">
        <v>23</v>
      </c>
      <c r="F554" s="5">
        <v>1.0</v>
      </c>
      <c r="G554" s="6">
        <v>233505.6</v>
      </c>
      <c r="H554" s="6">
        <v>233505.6</v>
      </c>
    </row>
    <row r="555">
      <c r="B555" s="4" t="s">
        <v>1337</v>
      </c>
      <c r="C555" s="4" t="s">
        <v>1338</v>
      </c>
      <c r="D555" s="4" t="s">
        <v>9</v>
      </c>
      <c r="E555" s="4" t="s">
        <v>173</v>
      </c>
      <c r="F555" s="5">
        <v>4.0</v>
      </c>
      <c r="G555" s="6">
        <v>392091.99</v>
      </c>
      <c r="H555" s="6">
        <v>1568367.96</v>
      </c>
    </row>
    <row r="556">
      <c r="B556" s="4" t="s">
        <v>1339</v>
      </c>
      <c r="C556" s="4" t="s">
        <v>1340</v>
      </c>
      <c r="D556" s="4" t="s">
        <v>9</v>
      </c>
      <c r="E556" s="4" t="s">
        <v>173</v>
      </c>
      <c r="F556" s="5">
        <v>10.0</v>
      </c>
      <c r="G556" s="6">
        <v>83933.5</v>
      </c>
      <c r="H556" s="6">
        <v>839335.0</v>
      </c>
    </row>
    <row r="557">
      <c r="B557" s="19" t="s">
        <v>1341</v>
      </c>
      <c r="C557" s="4" t="s">
        <v>1342</v>
      </c>
      <c r="D557" s="4" t="s">
        <v>9</v>
      </c>
      <c r="E557" s="4" t="s">
        <v>23</v>
      </c>
      <c r="F557" s="5">
        <v>2.0</v>
      </c>
      <c r="G557" s="6">
        <v>134878.84</v>
      </c>
      <c r="H557" s="6">
        <v>269757.68</v>
      </c>
    </row>
    <row r="558">
      <c r="B558" s="19" t="s">
        <v>1343</v>
      </c>
      <c r="C558" s="4" t="s">
        <v>1344</v>
      </c>
      <c r="D558" s="4" t="s">
        <v>9</v>
      </c>
      <c r="E558" s="4" t="s">
        <v>23</v>
      </c>
      <c r="F558" s="5">
        <v>1.0</v>
      </c>
      <c r="G558" s="6">
        <v>534956.46</v>
      </c>
      <c r="H558" s="6">
        <v>534956.46</v>
      </c>
    </row>
    <row r="559">
      <c r="B559" s="4" t="s">
        <v>1346</v>
      </c>
      <c r="C559" s="4" t="s">
        <v>1347</v>
      </c>
      <c r="D559" s="4" t="s">
        <v>9</v>
      </c>
      <c r="E559" s="4" t="s">
        <v>23</v>
      </c>
      <c r="F559" s="5">
        <v>2.0</v>
      </c>
      <c r="G559" s="6">
        <v>311748.39</v>
      </c>
      <c r="H559" s="6">
        <v>623496.78</v>
      </c>
    </row>
    <row r="560">
      <c r="B560" s="4" t="s">
        <v>1348</v>
      </c>
      <c r="C560" s="4" t="s">
        <v>1349</v>
      </c>
      <c r="D560" s="4" t="s">
        <v>9</v>
      </c>
      <c r="E560" s="4" t="s">
        <v>23</v>
      </c>
      <c r="F560" s="5">
        <v>2.0</v>
      </c>
      <c r="G560" s="6">
        <v>352005.68</v>
      </c>
      <c r="H560" s="6">
        <v>704011.36</v>
      </c>
    </row>
    <row r="561">
      <c r="B561" s="4" t="s">
        <v>1350</v>
      </c>
      <c r="C561" s="4" t="s">
        <v>1351</v>
      </c>
      <c r="D561" s="4" t="s">
        <v>9</v>
      </c>
      <c r="E561" s="4" t="s">
        <v>23</v>
      </c>
      <c r="F561" s="5">
        <v>1.0</v>
      </c>
      <c r="G561" s="6">
        <v>6804993.35</v>
      </c>
      <c r="H561" s="6">
        <v>6804993.35</v>
      </c>
    </row>
    <row r="562">
      <c r="B562" s="4" t="s">
        <v>1352</v>
      </c>
      <c r="C562" s="4" t="s">
        <v>1353</v>
      </c>
      <c r="D562" s="4" t="s">
        <v>9</v>
      </c>
      <c r="E562" s="4" t="s">
        <v>23</v>
      </c>
      <c r="F562" s="5">
        <v>2.0</v>
      </c>
      <c r="G562" s="6">
        <v>174943.27</v>
      </c>
      <c r="H562" s="6">
        <v>349886.54</v>
      </c>
    </row>
    <row r="563">
      <c r="B563" s="4" t="s">
        <v>1354</v>
      </c>
      <c r="C563" s="4" t="s">
        <v>1355</v>
      </c>
      <c r="D563" s="4" t="s">
        <v>9</v>
      </c>
      <c r="E563" s="4" t="s">
        <v>23</v>
      </c>
      <c r="F563" s="5">
        <v>2.0</v>
      </c>
      <c r="G563" s="6">
        <v>125699.8</v>
      </c>
      <c r="H563" s="6">
        <v>251399.6</v>
      </c>
    </row>
    <row r="564">
      <c r="B564" s="4" t="s">
        <v>1356</v>
      </c>
      <c r="C564" s="4" t="s">
        <v>1357</v>
      </c>
      <c r="D564" s="4" t="s">
        <v>9</v>
      </c>
      <c r="E564" s="4" t="s">
        <v>173</v>
      </c>
      <c r="F564" s="5">
        <v>2.0</v>
      </c>
      <c r="G564" s="6">
        <v>186832.5</v>
      </c>
      <c r="H564" s="6">
        <v>373665.0</v>
      </c>
    </row>
    <row r="565">
      <c r="B565" s="4" t="s">
        <v>1358</v>
      </c>
      <c r="C565" s="4" t="s">
        <v>1359</v>
      </c>
      <c r="D565" s="4" t="s">
        <v>9</v>
      </c>
      <c r="E565" s="4" t="s">
        <v>173</v>
      </c>
      <c r="F565" s="5">
        <v>1.0</v>
      </c>
      <c r="G565" s="6">
        <v>277497.57</v>
      </c>
      <c r="H565" s="6">
        <v>277497.57</v>
      </c>
    </row>
    <row r="566">
      <c r="B566" s="4" t="s">
        <v>1360</v>
      </c>
      <c r="C566" s="4" t="s">
        <v>1361</v>
      </c>
      <c r="D566" s="4" t="s">
        <v>9</v>
      </c>
      <c r="E566" s="4" t="s">
        <v>173</v>
      </c>
      <c r="F566" s="5">
        <v>1.0</v>
      </c>
      <c r="G566" s="6">
        <v>277497.57</v>
      </c>
      <c r="H566" s="6">
        <v>277497.57</v>
      </c>
    </row>
    <row r="567">
      <c r="B567" s="4" t="s">
        <v>1363</v>
      </c>
      <c r="C567" s="4" t="s">
        <v>1364</v>
      </c>
      <c r="D567" s="4" t="s">
        <v>9</v>
      </c>
      <c r="E567" s="4" t="s">
        <v>173</v>
      </c>
      <c r="F567" s="5">
        <v>1.0</v>
      </c>
      <c r="G567" s="6">
        <v>829366.55</v>
      </c>
      <c r="H567" s="6">
        <v>829366.55</v>
      </c>
    </row>
    <row r="568">
      <c r="B568" s="4" t="s">
        <v>1365</v>
      </c>
      <c r="C568" s="4" t="s">
        <v>1366</v>
      </c>
      <c r="D568" s="4" t="s">
        <v>9</v>
      </c>
      <c r="E568" s="4" t="s">
        <v>23</v>
      </c>
      <c r="F568" s="5">
        <v>1.0</v>
      </c>
      <c r="G568" s="6">
        <v>257104.38</v>
      </c>
      <c r="H568" s="6">
        <v>257104.38</v>
      </c>
    </row>
    <row r="569">
      <c r="B569" s="4" t="s">
        <v>1367</v>
      </c>
      <c r="C569" s="4" t="s">
        <v>1368</v>
      </c>
      <c r="D569" s="4" t="s">
        <v>9</v>
      </c>
      <c r="E569" s="4" t="s">
        <v>23</v>
      </c>
      <c r="F569" s="5">
        <v>1.0</v>
      </c>
      <c r="G569" s="6">
        <v>343026.08</v>
      </c>
      <c r="H569" s="6">
        <v>343026.08</v>
      </c>
    </row>
    <row r="570">
      <c r="B570" s="4" t="s">
        <v>1369</v>
      </c>
      <c r="C570" s="4" t="s">
        <v>1370</v>
      </c>
      <c r="D570" s="4" t="s">
        <v>9</v>
      </c>
      <c r="E570" s="4" t="s">
        <v>23</v>
      </c>
      <c r="F570" s="5">
        <v>1.0</v>
      </c>
      <c r="G570" s="6">
        <v>177039.58</v>
      </c>
      <c r="H570" s="6">
        <v>177039.58</v>
      </c>
    </row>
    <row r="571">
      <c r="B571" s="4" t="s">
        <v>1371</v>
      </c>
      <c r="C571" s="4" t="s">
        <v>1372</v>
      </c>
      <c r="D571" s="4" t="s">
        <v>9</v>
      </c>
      <c r="E571" s="4" t="s">
        <v>23</v>
      </c>
      <c r="F571" s="5">
        <v>1.0</v>
      </c>
      <c r="G571" s="6">
        <v>4042367.51</v>
      </c>
      <c r="H571" s="6">
        <v>4042367.51</v>
      </c>
    </row>
    <row r="572">
      <c r="B572" s="4" t="s">
        <v>1373</v>
      </c>
      <c r="C572" s="4" t="s">
        <v>1374</v>
      </c>
      <c r="D572" s="4" t="s">
        <v>9</v>
      </c>
      <c r="E572" s="10"/>
      <c r="F572" s="5">
        <v>38.0</v>
      </c>
      <c r="G572" s="6">
        <v>14049.36</v>
      </c>
      <c r="H572" s="6">
        <v>533875.68</v>
      </c>
    </row>
    <row r="573">
      <c r="B573" s="4" t="s">
        <v>1375</v>
      </c>
      <c r="C573" s="4" t="s">
        <v>1376</v>
      </c>
      <c r="D573" s="4" t="s">
        <v>9</v>
      </c>
      <c r="E573" s="10"/>
      <c r="F573" s="5">
        <v>19.0</v>
      </c>
      <c r="G573" s="6">
        <v>24087.9</v>
      </c>
      <c r="H573" s="6">
        <v>457670.1</v>
      </c>
    </row>
    <row r="574">
      <c r="B574" s="4" t="s">
        <v>1377</v>
      </c>
      <c r="C574" s="4" t="s">
        <v>1378</v>
      </c>
      <c r="D574" s="4" t="s">
        <v>9</v>
      </c>
      <c r="E574" s="4" t="s">
        <v>23</v>
      </c>
      <c r="F574" s="5">
        <v>1.0</v>
      </c>
      <c r="G574" s="6">
        <v>363383.01</v>
      </c>
      <c r="H574" s="6">
        <v>363383.01</v>
      </c>
    </row>
    <row r="575">
      <c r="B575" s="4" t="s">
        <v>1379</v>
      </c>
      <c r="C575" s="4" t="s">
        <v>1380</v>
      </c>
      <c r="D575" s="4" t="s">
        <v>9</v>
      </c>
      <c r="E575" s="4" t="s">
        <v>23</v>
      </c>
      <c r="F575" s="5">
        <v>8.0</v>
      </c>
      <c r="G575" s="6">
        <v>38371.52</v>
      </c>
      <c r="H575" s="6">
        <v>306972.16</v>
      </c>
    </row>
    <row r="576">
      <c r="B576" s="4" t="s">
        <v>1381</v>
      </c>
      <c r="C576" s="4" t="s">
        <v>1382</v>
      </c>
      <c r="D576" s="4" t="s">
        <v>9</v>
      </c>
      <c r="E576" s="4" t="s">
        <v>23</v>
      </c>
      <c r="F576" s="5">
        <v>34.0</v>
      </c>
      <c r="G576" s="6">
        <v>11234.74</v>
      </c>
      <c r="H576" s="6">
        <v>381981.16</v>
      </c>
    </row>
    <row r="577">
      <c r="B577" s="4" t="s">
        <v>747</v>
      </c>
      <c r="C577" s="4" t="s">
        <v>1383</v>
      </c>
      <c r="D577" s="4" t="s">
        <v>9</v>
      </c>
      <c r="E577" s="4" t="s">
        <v>23</v>
      </c>
      <c r="F577" s="5">
        <v>35.0</v>
      </c>
      <c r="G577" s="6">
        <v>10454.37</v>
      </c>
      <c r="H577" s="6">
        <v>365902.95</v>
      </c>
    </row>
    <row r="578">
      <c r="B578" s="4" t="s">
        <v>719</v>
      </c>
      <c r="C578" s="4" t="s">
        <v>1384</v>
      </c>
      <c r="D578" s="4" t="s">
        <v>9</v>
      </c>
      <c r="E578" s="10"/>
      <c r="F578" s="5">
        <v>186.0</v>
      </c>
      <c r="G578" s="6">
        <v>5752.47</v>
      </c>
      <c r="H578" s="6">
        <v>1069959.42</v>
      </c>
    </row>
    <row r="579">
      <c r="B579" s="4" t="s">
        <v>1385</v>
      </c>
      <c r="C579" s="4" t="s">
        <v>1386</v>
      </c>
      <c r="D579" s="4" t="s">
        <v>9</v>
      </c>
      <c r="E579" s="4" t="s">
        <v>23</v>
      </c>
      <c r="F579" s="5">
        <v>7.0</v>
      </c>
      <c r="G579" s="6">
        <v>54283.82</v>
      </c>
      <c r="H579" s="6">
        <v>379986.74</v>
      </c>
    </row>
    <row r="580">
      <c r="B580" s="4" t="s">
        <v>1388</v>
      </c>
      <c r="C580" s="4" t="s">
        <v>1389</v>
      </c>
      <c r="D580" s="4" t="s">
        <v>9</v>
      </c>
      <c r="E580" s="4" t="s">
        <v>23</v>
      </c>
      <c r="F580" s="5">
        <v>2.0</v>
      </c>
      <c r="G580" s="6">
        <v>110697.71</v>
      </c>
      <c r="H580" s="6">
        <v>221395.42</v>
      </c>
    </row>
    <row r="581">
      <c r="B581" s="4" t="s">
        <v>764</v>
      </c>
      <c r="C581" s="4" t="s">
        <v>1390</v>
      </c>
      <c r="D581" s="4" t="s">
        <v>9</v>
      </c>
      <c r="E581" s="4" t="s">
        <v>23</v>
      </c>
      <c r="F581" s="5">
        <v>4.0</v>
      </c>
      <c r="G581" s="6">
        <v>77141.57</v>
      </c>
      <c r="H581" s="6">
        <v>308566.28</v>
      </c>
    </row>
    <row r="582">
      <c r="B582" s="4" t="s">
        <v>551</v>
      </c>
      <c r="C582" s="4" t="s">
        <v>1391</v>
      </c>
      <c r="D582" s="4" t="s">
        <v>9</v>
      </c>
      <c r="E582" s="4" t="s">
        <v>10</v>
      </c>
      <c r="F582" s="5">
        <v>2.0</v>
      </c>
      <c r="G582" s="6">
        <v>92422.01</v>
      </c>
      <c r="H582" s="6">
        <v>184844.02</v>
      </c>
    </row>
    <row r="583">
      <c r="B583" s="4" t="s">
        <v>581</v>
      </c>
      <c r="C583" s="4" t="s">
        <v>1392</v>
      </c>
      <c r="D583" s="4" t="s">
        <v>9</v>
      </c>
      <c r="E583" s="4" t="s">
        <v>10</v>
      </c>
      <c r="F583" s="5">
        <v>3.0</v>
      </c>
      <c r="G583" s="6">
        <v>285733.33</v>
      </c>
      <c r="H583" s="6">
        <v>857199.99</v>
      </c>
    </row>
    <row r="584">
      <c r="B584" s="4" t="s">
        <v>796</v>
      </c>
      <c r="C584" s="4" t="s">
        <v>1393</v>
      </c>
      <c r="D584" s="4" t="s">
        <v>9</v>
      </c>
      <c r="E584" s="4" t="s">
        <v>23</v>
      </c>
      <c r="F584" s="5">
        <v>3.0</v>
      </c>
      <c r="G584" s="6">
        <v>82899.39</v>
      </c>
      <c r="H584" s="6">
        <v>248698.17</v>
      </c>
    </row>
    <row r="585">
      <c r="B585" s="4" t="s">
        <v>1394</v>
      </c>
      <c r="C585" s="4" t="s">
        <v>1395</v>
      </c>
      <c r="D585" s="4" t="s">
        <v>9</v>
      </c>
      <c r="E585" s="4" t="s">
        <v>23</v>
      </c>
      <c r="F585" s="5">
        <v>30.0</v>
      </c>
      <c r="G585" s="6">
        <v>15026.1</v>
      </c>
      <c r="H585" s="6">
        <v>450783.0</v>
      </c>
    </row>
    <row r="586">
      <c r="B586" s="4" t="s">
        <v>1396</v>
      </c>
      <c r="C586" s="4" t="s">
        <v>1397</v>
      </c>
      <c r="D586" s="4" t="s">
        <v>9</v>
      </c>
      <c r="E586" s="4" t="s">
        <v>23</v>
      </c>
      <c r="F586" s="5">
        <v>5.0</v>
      </c>
      <c r="G586" s="6">
        <v>39769.13</v>
      </c>
      <c r="H586" s="6">
        <v>198845.65</v>
      </c>
    </row>
    <row r="587">
      <c r="B587" s="4" t="s">
        <v>1209</v>
      </c>
      <c r="C587" s="4" t="s">
        <v>1398</v>
      </c>
      <c r="D587" s="4" t="s">
        <v>9</v>
      </c>
      <c r="E587" s="4" t="s">
        <v>23</v>
      </c>
      <c r="F587" s="5">
        <v>2.0</v>
      </c>
      <c r="G587" s="6">
        <v>124201.23</v>
      </c>
      <c r="H587" s="6">
        <v>248402.46</v>
      </c>
    </row>
    <row r="588">
      <c r="B588" s="4" t="s">
        <v>810</v>
      </c>
      <c r="C588" s="4" t="s">
        <v>1399</v>
      </c>
      <c r="D588" s="4" t="s">
        <v>9</v>
      </c>
      <c r="E588" s="4" t="s">
        <v>23</v>
      </c>
      <c r="F588" s="5">
        <v>7.0</v>
      </c>
      <c r="G588" s="6">
        <v>25564.12</v>
      </c>
      <c r="H588" s="6">
        <v>178948.84</v>
      </c>
    </row>
    <row r="589">
      <c r="B589" s="4" t="s">
        <v>1400</v>
      </c>
      <c r="C589" s="4" t="s">
        <v>1401</v>
      </c>
      <c r="D589" s="4" t="s">
        <v>9</v>
      </c>
      <c r="E589" s="4" t="s">
        <v>10</v>
      </c>
      <c r="F589" s="5">
        <v>1.0</v>
      </c>
      <c r="G589" s="6">
        <v>558900.0</v>
      </c>
      <c r="H589" s="6">
        <v>558900.0</v>
      </c>
    </row>
    <row r="590">
      <c r="B590" s="4" t="s">
        <v>1402</v>
      </c>
      <c r="C590" s="4" t="s">
        <v>1403</v>
      </c>
      <c r="D590" s="4" t="s">
        <v>9</v>
      </c>
      <c r="E590" s="10"/>
      <c r="F590" s="5">
        <v>8.0</v>
      </c>
      <c r="G590" s="6">
        <v>356307.98</v>
      </c>
      <c r="H590" s="6">
        <v>2850463.84</v>
      </c>
    </row>
    <row r="591">
      <c r="B591" s="4" t="s">
        <v>1145</v>
      </c>
      <c r="C591" s="4" t="s">
        <v>1405</v>
      </c>
      <c r="D591" s="4" t="s">
        <v>9</v>
      </c>
      <c r="E591" s="10"/>
      <c r="F591" s="5">
        <v>2.0</v>
      </c>
      <c r="G591" s="6">
        <v>253292.21</v>
      </c>
      <c r="H591" s="6">
        <v>506584.42</v>
      </c>
    </row>
    <row r="592">
      <c r="B592" s="4" t="s">
        <v>779</v>
      </c>
      <c r="C592" s="4" t="s">
        <v>1406</v>
      </c>
      <c r="D592" s="4" t="s">
        <v>9</v>
      </c>
      <c r="E592" s="4" t="s">
        <v>173</v>
      </c>
      <c r="F592" s="5">
        <v>50.0</v>
      </c>
      <c r="G592" s="6">
        <v>5481.89</v>
      </c>
      <c r="H592" s="6">
        <v>274094.5</v>
      </c>
    </row>
    <row r="593">
      <c r="B593" s="19" t="s">
        <v>1407</v>
      </c>
      <c r="C593" s="4" t="s">
        <v>1409</v>
      </c>
      <c r="D593" s="4" t="s">
        <v>9</v>
      </c>
      <c r="E593" s="4" t="s">
        <v>23</v>
      </c>
      <c r="F593" s="5">
        <v>2.0</v>
      </c>
      <c r="G593" s="6">
        <v>328773.09</v>
      </c>
      <c r="H593" s="6">
        <v>657546.18</v>
      </c>
    </row>
    <row r="594">
      <c r="B594" s="4" t="s">
        <v>1410</v>
      </c>
      <c r="C594" s="4" t="s">
        <v>1411</v>
      </c>
      <c r="D594" s="4" t="s">
        <v>9</v>
      </c>
      <c r="E594" s="4" t="s">
        <v>23</v>
      </c>
      <c r="F594" s="5">
        <v>1.0</v>
      </c>
      <c r="G594" s="6">
        <v>4802327.74</v>
      </c>
      <c r="H594" s="6">
        <v>4802327.74</v>
      </c>
    </row>
    <row r="595">
      <c r="B595" s="4" t="s">
        <v>1412</v>
      </c>
      <c r="C595" s="4" t="s">
        <v>1413</v>
      </c>
      <c r="D595" s="4" t="s">
        <v>9</v>
      </c>
      <c r="E595" s="4" t="s">
        <v>23</v>
      </c>
      <c r="F595" s="5">
        <v>1.0</v>
      </c>
      <c r="G595" s="6">
        <v>571515.52</v>
      </c>
      <c r="H595" s="6">
        <v>571515.52</v>
      </c>
    </row>
    <row r="596">
      <c r="B596" s="4" t="s">
        <v>1414</v>
      </c>
      <c r="C596" s="4" t="s">
        <v>1415</v>
      </c>
      <c r="D596" s="4" t="s">
        <v>9</v>
      </c>
      <c r="E596" s="4" t="s">
        <v>23</v>
      </c>
      <c r="F596" s="5">
        <v>4.0</v>
      </c>
      <c r="G596" s="6">
        <v>49948.21</v>
      </c>
      <c r="H596" s="6">
        <v>199792.84</v>
      </c>
    </row>
    <row r="597">
      <c r="B597" s="4" t="s">
        <v>1416</v>
      </c>
      <c r="C597" s="4" t="s">
        <v>1417</v>
      </c>
      <c r="D597" s="4" t="s">
        <v>491</v>
      </c>
      <c r="E597" s="4" t="s">
        <v>23</v>
      </c>
      <c r="F597" s="5">
        <v>23.5</v>
      </c>
      <c r="G597" s="6">
        <v>11871.3</v>
      </c>
      <c r="H597" s="6">
        <v>278975.55</v>
      </c>
    </row>
    <row r="598">
      <c r="B598" s="19" t="s">
        <v>1418</v>
      </c>
      <c r="C598" s="4" t="s">
        <v>1420</v>
      </c>
      <c r="D598" s="4" t="s">
        <v>9</v>
      </c>
      <c r="E598" s="4" t="s">
        <v>23</v>
      </c>
      <c r="F598" s="5">
        <v>5.0</v>
      </c>
      <c r="G598" s="6">
        <v>36660.51</v>
      </c>
      <c r="H598" s="6">
        <v>183302.55</v>
      </c>
    </row>
    <row r="599">
      <c r="B599" s="19" t="s">
        <v>1421</v>
      </c>
      <c r="C599" s="4" t="s">
        <v>1422</v>
      </c>
      <c r="D599" s="4" t="s">
        <v>9</v>
      </c>
      <c r="E599" s="4" t="s">
        <v>23</v>
      </c>
      <c r="F599" s="5">
        <v>1.0</v>
      </c>
      <c r="G599" s="6">
        <v>1137759.13</v>
      </c>
      <c r="H599" s="6">
        <v>1137759.13</v>
      </c>
    </row>
    <row r="600">
      <c r="B600" s="4" t="s">
        <v>1423</v>
      </c>
      <c r="C600" s="4" t="s">
        <v>1424</v>
      </c>
      <c r="D600" s="4" t="s">
        <v>9</v>
      </c>
      <c r="E600" s="4" t="s">
        <v>23</v>
      </c>
      <c r="F600" s="5">
        <v>3.0</v>
      </c>
      <c r="G600" s="6">
        <v>344930.87</v>
      </c>
      <c r="H600" s="6">
        <v>1034792.61</v>
      </c>
    </row>
    <row r="601">
      <c r="B601" s="4" t="s">
        <v>567</v>
      </c>
      <c r="C601" s="4" t="s">
        <v>1425</v>
      </c>
      <c r="D601" s="4" t="s">
        <v>9</v>
      </c>
      <c r="E601" s="4" t="s">
        <v>10</v>
      </c>
      <c r="F601" s="5">
        <v>3.0</v>
      </c>
      <c r="G601" s="6">
        <v>61330.0</v>
      </c>
      <c r="H601" s="6">
        <v>183990.0</v>
      </c>
    </row>
    <row r="602">
      <c r="B602" s="4" t="s">
        <v>532</v>
      </c>
      <c r="C602" s="4" t="s">
        <v>1427</v>
      </c>
      <c r="D602" s="4" t="s">
        <v>9</v>
      </c>
      <c r="E602" s="4" t="s">
        <v>10</v>
      </c>
      <c r="F602" s="5">
        <v>2.0</v>
      </c>
      <c r="G602" s="6">
        <v>203686.0</v>
      </c>
      <c r="H602" s="6">
        <v>407372.0</v>
      </c>
    </row>
    <row r="603">
      <c r="B603" s="4" t="s">
        <v>1428</v>
      </c>
      <c r="C603" s="4" t="s">
        <v>1429</v>
      </c>
      <c r="D603" s="4" t="s">
        <v>9</v>
      </c>
      <c r="E603" s="4" t="s">
        <v>23</v>
      </c>
      <c r="F603" s="5">
        <v>3.0</v>
      </c>
      <c r="G603" s="6">
        <v>78060.88</v>
      </c>
      <c r="H603" s="6">
        <v>234182.64</v>
      </c>
    </row>
    <row r="604">
      <c r="B604" s="4" t="s">
        <v>1430</v>
      </c>
      <c r="C604" s="4" t="s">
        <v>1431</v>
      </c>
      <c r="D604" s="4" t="s">
        <v>9</v>
      </c>
      <c r="E604" s="4" t="s">
        <v>23</v>
      </c>
      <c r="F604" s="5">
        <v>1.0</v>
      </c>
      <c r="G604" s="6">
        <v>387391.17</v>
      </c>
      <c r="H604" s="6">
        <v>387391.17</v>
      </c>
    </row>
    <row r="605">
      <c r="B605" s="4" t="s">
        <v>1432</v>
      </c>
      <c r="C605" s="4" t="s">
        <v>1433</v>
      </c>
      <c r="D605" s="4" t="s">
        <v>9</v>
      </c>
      <c r="E605" s="4" t="s">
        <v>23</v>
      </c>
      <c r="F605" s="5">
        <v>1.0</v>
      </c>
      <c r="G605" s="6">
        <v>241776.59</v>
      </c>
      <c r="H605" s="6">
        <v>241776.59</v>
      </c>
    </row>
    <row r="606">
      <c r="B606" s="4" t="s">
        <v>1159</v>
      </c>
      <c r="C606" s="4" t="s">
        <v>1435</v>
      </c>
      <c r="D606" s="4" t="s">
        <v>9</v>
      </c>
      <c r="E606" s="4" t="s">
        <v>23</v>
      </c>
      <c r="F606" s="5">
        <v>7.0</v>
      </c>
      <c r="G606" s="6">
        <v>64954.65</v>
      </c>
      <c r="H606" s="6">
        <v>454682.55</v>
      </c>
    </row>
    <row r="607">
      <c r="B607" s="19" t="s">
        <v>1436</v>
      </c>
      <c r="C607" s="4" t="s">
        <v>1437</v>
      </c>
      <c r="D607" s="4" t="s">
        <v>9</v>
      </c>
      <c r="E607" s="4" t="s">
        <v>1438</v>
      </c>
      <c r="F607" s="5">
        <v>1.0</v>
      </c>
      <c r="G607" s="6">
        <v>251717.0</v>
      </c>
      <c r="H607" s="6">
        <v>251717.0</v>
      </c>
    </row>
    <row r="608">
      <c r="B608" s="19" t="s">
        <v>650</v>
      </c>
      <c r="C608" s="4" t="s">
        <v>1439</v>
      </c>
      <c r="D608" s="4" t="s">
        <v>9</v>
      </c>
      <c r="E608" s="4" t="s">
        <v>1438</v>
      </c>
      <c r="F608" s="5">
        <v>1.0</v>
      </c>
      <c r="G608" s="6">
        <v>528605.7</v>
      </c>
      <c r="H608" s="6">
        <v>528605.7</v>
      </c>
    </row>
    <row r="609">
      <c r="B609" s="4" t="s">
        <v>517</v>
      </c>
      <c r="C609" s="4" t="s">
        <v>1441</v>
      </c>
      <c r="D609" s="4" t="s">
        <v>9</v>
      </c>
      <c r="E609" s="4" t="s">
        <v>10</v>
      </c>
      <c r="F609" s="5">
        <v>1.0</v>
      </c>
      <c r="G609" s="6">
        <v>188400.0</v>
      </c>
      <c r="H609" s="6">
        <v>188400.0</v>
      </c>
    </row>
    <row r="610">
      <c r="B610" s="4" t="s">
        <v>596</v>
      </c>
      <c r="C610" s="4" t="s">
        <v>1442</v>
      </c>
      <c r="D610" s="4" t="s">
        <v>9</v>
      </c>
      <c r="E610" s="4" t="s">
        <v>10</v>
      </c>
      <c r="F610" s="5">
        <v>4.0</v>
      </c>
      <c r="G610" s="6">
        <v>164300.0</v>
      </c>
      <c r="H610" s="6">
        <v>657200.0</v>
      </c>
    </row>
    <row r="611">
      <c r="B611" s="4" t="s">
        <v>1443</v>
      </c>
      <c r="C611" s="4" t="s">
        <v>1444</v>
      </c>
      <c r="D611" s="4" t="s">
        <v>9</v>
      </c>
      <c r="E611" s="4" t="s">
        <v>23</v>
      </c>
      <c r="F611" s="5">
        <v>8.0</v>
      </c>
      <c r="G611" s="6">
        <v>29296.47</v>
      </c>
      <c r="H611" s="6">
        <v>234371.76</v>
      </c>
    </row>
    <row r="612">
      <c r="B612" s="4" t="s">
        <v>1446</v>
      </c>
      <c r="C612" s="4" t="s">
        <v>1447</v>
      </c>
      <c r="D612" s="4" t="s">
        <v>9</v>
      </c>
      <c r="E612" s="4" t="s">
        <v>23</v>
      </c>
      <c r="F612" s="5">
        <v>4.0</v>
      </c>
      <c r="G612" s="6">
        <v>116919.11</v>
      </c>
      <c r="H612" s="6">
        <v>467676.44</v>
      </c>
    </row>
    <row r="613">
      <c r="B613" s="4" t="s">
        <v>732</v>
      </c>
      <c r="C613" s="4" t="s">
        <v>1448</v>
      </c>
      <c r="D613" s="4" t="s">
        <v>9</v>
      </c>
      <c r="E613" s="4" t="s">
        <v>23</v>
      </c>
      <c r="F613" s="5">
        <v>12.0</v>
      </c>
      <c r="G613" s="6">
        <v>45459.56</v>
      </c>
      <c r="H613" s="6">
        <v>545514.72</v>
      </c>
    </row>
    <row r="614">
      <c r="B614" s="4" t="s">
        <v>1449</v>
      </c>
      <c r="C614" s="4" t="s">
        <v>1450</v>
      </c>
      <c r="D614" s="4" t="s">
        <v>9</v>
      </c>
      <c r="E614" s="4" t="s">
        <v>23</v>
      </c>
      <c r="F614" s="5">
        <v>11.0</v>
      </c>
      <c r="G614" s="6">
        <v>21227.22</v>
      </c>
      <c r="H614" s="6">
        <v>233499.42</v>
      </c>
    </row>
    <row r="615">
      <c r="B615" s="4" t="s">
        <v>1451</v>
      </c>
      <c r="C615" s="4" t="s">
        <v>1452</v>
      </c>
      <c r="D615" s="4" t="s">
        <v>9</v>
      </c>
      <c r="E615" s="4" t="s">
        <v>23</v>
      </c>
      <c r="F615" s="5">
        <v>7.0</v>
      </c>
      <c r="G615" s="6">
        <v>83085.54</v>
      </c>
      <c r="H615" s="6">
        <v>581598.78</v>
      </c>
    </row>
    <row r="616">
      <c r="B616" s="4" t="s">
        <v>1453</v>
      </c>
      <c r="C616" s="4" t="s">
        <v>1454</v>
      </c>
      <c r="D616" s="4" t="s">
        <v>9</v>
      </c>
      <c r="E616" s="10"/>
      <c r="F616" s="5">
        <v>8.0</v>
      </c>
      <c r="G616" s="6">
        <v>35978.2</v>
      </c>
      <c r="H616" s="6">
        <v>287825.6</v>
      </c>
    </row>
    <row r="617">
      <c r="B617" s="4" t="s">
        <v>1455</v>
      </c>
      <c r="C617" s="4" t="s">
        <v>1456</v>
      </c>
      <c r="D617" s="4" t="s">
        <v>9</v>
      </c>
      <c r="E617" s="4" t="s">
        <v>23</v>
      </c>
      <c r="F617" s="5">
        <v>10.0</v>
      </c>
      <c r="G617" s="6">
        <v>30643.24</v>
      </c>
      <c r="H617" s="6">
        <v>306432.4</v>
      </c>
    </row>
    <row r="618">
      <c r="B618" s="4" t="s">
        <v>1458</v>
      </c>
      <c r="C618" s="4" t="s">
        <v>1459</v>
      </c>
      <c r="D618" s="4" t="s">
        <v>9</v>
      </c>
      <c r="E618" s="4" t="s">
        <v>23</v>
      </c>
      <c r="F618" s="5">
        <v>5.0</v>
      </c>
      <c r="G618" s="6">
        <v>68191.73</v>
      </c>
      <c r="H618" s="6">
        <v>340958.65</v>
      </c>
    </row>
    <row r="619">
      <c r="B619" s="4" t="s">
        <v>1460</v>
      </c>
      <c r="C619" s="4" t="s">
        <v>1461</v>
      </c>
      <c r="D619" s="4" t="s">
        <v>9</v>
      </c>
      <c r="E619" s="4" t="s">
        <v>23</v>
      </c>
      <c r="F619" s="5">
        <v>1.0</v>
      </c>
      <c r="G619" s="6">
        <v>349207.63</v>
      </c>
      <c r="H619" s="6">
        <v>349207.63</v>
      </c>
    </row>
    <row r="620">
      <c r="B620" s="4" t="s">
        <v>1462</v>
      </c>
      <c r="C620" s="4" t="s">
        <v>1463</v>
      </c>
      <c r="D620" s="4" t="s">
        <v>9</v>
      </c>
      <c r="E620" s="4" t="s">
        <v>23</v>
      </c>
      <c r="F620" s="5">
        <v>7.0</v>
      </c>
      <c r="G620" s="6">
        <v>30324.48</v>
      </c>
      <c r="H620" s="6">
        <v>212271.36</v>
      </c>
    </row>
    <row r="621">
      <c r="B621" s="4" t="s">
        <v>1465</v>
      </c>
      <c r="C621" s="4" t="s">
        <v>1466</v>
      </c>
      <c r="D621" s="4" t="s">
        <v>9</v>
      </c>
      <c r="E621" s="4" t="s">
        <v>23</v>
      </c>
      <c r="F621" s="5">
        <v>3.0</v>
      </c>
      <c r="G621" s="6">
        <v>64997.34</v>
      </c>
      <c r="H621" s="6">
        <v>194992.02</v>
      </c>
    </row>
    <row r="622">
      <c r="B622" s="4" t="s">
        <v>1467</v>
      </c>
      <c r="C622" s="4" t="s">
        <v>1468</v>
      </c>
      <c r="D622" s="4" t="s">
        <v>9</v>
      </c>
      <c r="E622" s="4" t="s">
        <v>23</v>
      </c>
      <c r="F622" s="5">
        <v>9.0</v>
      </c>
      <c r="G622" s="6">
        <v>19646.8</v>
      </c>
      <c r="H622" s="6">
        <v>176821.2</v>
      </c>
    </row>
    <row r="623">
      <c r="B623" s="4" t="s">
        <v>1469</v>
      </c>
      <c r="C623" s="4" t="s">
        <v>1470</v>
      </c>
      <c r="D623" s="4" t="s">
        <v>9</v>
      </c>
      <c r="E623" s="4" t="s">
        <v>23</v>
      </c>
      <c r="F623" s="5">
        <v>3.0</v>
      </c>
      <c r="G623" s="6">
        <v>103263.34</v>
      </c>
      <c r="H623" s="6">
        <v>309790.02</v>
      </c>
    </row>
    <row r="624">
      <c r="B624" s="4" t="s">
        <v>1471</v>
      </c>
      <c r="C624" s="4" t="s">
        <v>1472</v>
      </c>
      <c r="D624" s="4" t="s">
        <v>9</v>
      </c>
      <c r="E624" s="4" t="s">
        <v>23</v>
      </c>
      <c r="F624" s="5">
        <v>2.0</v>
      </c>
      <c r="G624" s="6">
        <v>124580.88</v>
      </c>
      <c r="H624" s="6">
        <v>249161.76</v>
      </c>
    </row>
    <row r="625">
      <c r="B625" s="4" t="s">
        <v>1473</v>
      </c>
      <c r="C625" s="4" t="s">
        <v>1474</v>
      </c>
      <c r="D625" s="4" t="s">
        <v>9</v>
      </c>
      <c r="E625" s="10"/>
      <c r="F625" s="5">
        <v>8.0</v>
      </c>
      <c r="G625" s="6">
        <v>71749.43</v>
      </c>
      <c r="H625" s="6">
        <v>573995.44</v>
      </c>
    </row>
    <row r="626">
      <c r="B626" s="4" t="s">
        <v>1475</v>
      </c>
      <c r="C626" s="4" t="s">
        <v>1476</v>
      </c>
      <c r="D626" s="4" t="s">
        <v>9</v>
      </c>
      <c r="E626" s="4" t="s">
        <v>10</v>
      </c>
      <c r="F626" s="5">
        <v>8.0</v>
      </c>
      <c r="G626" s="6">
        <v>38500.0</v>
      </c>
      <c r="H626" s="6">
        <v>308000.0</v>
      </c>
    </row>
    <row r="627">
      <c r="B627" s="19" t="s">
        <v>1478</v>
      </c>
      <c r="C627" s="4" t="s">
        <v>1479</v>
      </c>
      <c r="D627" s="4" t="s">
        <v>9</v>
      </c>
      <c r="E627" s="4" t="s">
        <v>23</v>
      </c>
      <c r="F627" s="5">
        <v>1.0</v>
      </c>
      <c r="G627" s="6">
        <v>538377.68</v>
      </c>
      <c r="H627" s="6">
        <v>538377.68</v>
      </c>
    </row>
    <row r="628">
      <c r="B628" s="4" t="s">
        <v>1480</v>
      </c>
      <c r="C628" s="4" t="s">
        <v>1481</v>
      </c>
      <c r="D628" s="4" t="s">
        <v>9</v>
      </c>
      <c r="E628" s="4" t="s">
        <v>23</v>
      </c>
      <c r="F628" s="5">
        <v>4.0</v>
      </c>
      <c r="G628" s="6">
        <v>52038.38</v>
      </c>
      <c r="H628" s="6">
        <v>208153.52</v>
      </c>
    </row>
    <row r="629">
      <c r="B629" s="4" t="s">
        <v>1482</v>
      </c>
      <c r="C629" s="4" t="s">
        <v>1483</v>
      </c>
      <c r="D629" s="4" t="s">
        <v>9</v>
      </c>
      <c r="E629" s="10"/>
      <c r="F629" s="5">
        <v>2.0</v>
      </c>
      <c r="G629" s="6">
        <v>425390.54</v>
      </c>
      <c r="H629" s="6">
        <v>850781.08</v>
      </c>
    </row>
    <row r="630">
      <c r="B630" s="4" t="s">
        <v>827</v>
      </c>
      <c r="C630" s="4" t="s">
        <v>1484</v>
      </c>
      <c r="D630" s="4" t="s">
        <v>9</v>
      </c>
      <c r="E630" s="4" t="s">
        <v>23</v>
      </c>
      <c r="F630" s="5">
        <v>9.0</v>
      </c>
      <c r="G630" s="6">
        <v>21966.86</v>
      </c>
      <c r="H630" s="6">
        <v>197701.74</v>
      </c>
    </row>
    <row r="631">
      <c r="B631" s="4" t="s">
        <v>1485</v>
      </c>
      <c r="C631" s="4" t="s">
        <v>1486</v>
      </c>
      <c r="D631" s="4" t="s">
        <v>9</v>
      </c>
      <c r="E631" s="4" t="s">
        <v>23</v>
      </c>
      <c r="F631" s="5">
        <v>4.0</v>
      </c>
      <c r="G631" s="6">
        <v>69278.66</v>
      </c>
      <c r="H631" s="6">
        <v>277114.64</v>
      </c>
    </row>
    <row r="632">
      <c r="B632" s="4" t="s">
        <v>1487</v>
      </c>
      <c r="C632" s="4" t="s">
        <v>1488</v>
      </c>
      <c r="D632" s="4" t="s">
        <v>9</v>
      </c>
      <c r="E632" s="10"/>
      <c r="F632" s="5">
        <v>22.0</v>
      </c>
      <c r="G632" s="6">
        <v>9901.63</v>
      </c>
      <c r="H632" s="6">
        <v>217835.86</v>
      </c>
    </row>
    <row r="633">
      <c r="B633" s="4" t="s">
        <v>1489</v>
      </c>
      <c r="C633" s="4" t="s">
        <v>1490</v>
      </c>
      <c r="D633" s="4" t="s">
        <v>9</v>
      </c>
      <c r="E633" s="4" t="s">
        <v>23</v>
      </c>
      <c r="F633" s="5">
        <v>14.0</v>
      </c>
      <c r="G633" s="6">
        <v>13901.05</v>
      </c>
      <c r="H633" s="6">
        <v>194614.7</v>
      </c>
    </row>
    <row r="634">
      <c r="B634" s="19" t="s">
        <v>1491</v>
      </c>
      <c r="C634" s="4" t="s">
        <v>1492</v>
      </c>
      <c r="D634" s="4" t="s">
        <v>9</v>
      </c>
      <c r="E634" s="4" t="s">
        <v>23</v>
      </c>
      <c r="F634" s="5">
        <v>44.0</v>
      </c>
      <c r="G634" s="6">
        <v>12830.22</v>
      </c>
      <c r="H634" s="6">
        <v>564529.68</v>
      </c>
    </row>
    <row r="635">
      <c r="B635" s="19" t="s">
        <v>1494</v>
      </c>
      <c r="C635" s="4" t="s">
        <v>1495</v>
      </c>
      <c r="D635" s="4" t="s">
        <v>9</v>
      </c>
      <c r="E635" s="4" t="s">
        <v>23</v>
      </c>
      <c r="F635" s="5">
        <v>11.0</v>
      </c>
      <c r="G635" s="6">
        <v>17167.42</v>
      </c>
      <c r="H635" s="6">
        <v>188841.62</v>
      </c>
    </row>
    <row r="636">
      <c r="B636" s="4" t="s">
        <v>1496</v>
      </c>
      <c r="C636" s="4" t="s">
        <v>1497</v>
      </c>
      <c r="D636" s="4" t="s">
        <v>9</v>
      </c>
      <c r="E636" s="4" t="s">
        <v>23</v>
      </c>
      <c r="F636" s="5">
        <v>2.0</v>
      </c>
      <c r="G636" s="6">
        <v>90598.24</v>
      </c>
      <c r="H636" s="6">
        <v>181196.48</v>
      </c>
    </row>
    <row r="637">
      <c r="B637" s="19" t="s">
        <v>1498</v>
      </c>
      <c r="C637" s="4" t="s">
        <v>1500</v>
      </c>
      <c r="D637" s="4" t="s">
        <v>9</v>
      </c>
      <c r="E637" s="4" t="s">
        <v>23</v>
      </c>
      <c r="F637" s="5">
        <v>4.0</v>
      </c>
      <c r="G637" s="6">
        <v>130555.22</v>
      </c>
      <c r="H637" s="6">
        <v>522220.88</v>
      </c>
    </row>
    <row r="638">
      <c r="B638" s="4" t="s">
        <v>1501</v>
      </c>
      <c r="C638" s="4" t="s">
        <v>1502</v>
      </c>
      <c r="D638" s="4" t="s">
        <v>9</v>
      </c>
      <c r="E638" s="4" t="s">
        <v>23</v>
      </c>
      <c r="F638" s="5">
        <v>4.0</v>
      </c>
      <c r="G638" s="6">
        <v>68741.52</v>
      </c>
      <c r="H638" s="6">
        <v>274966.08</v>
      </c>
    </row>
    <row r="639">
      <c r="B639" s="4" t="s">
        <v>1503</v>
      </c>
      <c r="C639" s="4" t="s">
        <v>1504</v>
      </c>
      <c r="D639" s="4" t="s">
        <v>9</v>
      </c>
      <c r="E639" s="4" t="s">
        <v>23</v>
      </c>
      <c r="F639" s="5">
        <v>3.0</v>
      </c>
      <c r="G639" s="6">
        <v>92749.42</v>
      </c>
      <c r="H639" s="6">
        <v>278248.26</v>
      </c>
    </row>
    <row r="640">
      <c r="B640" s="4" t="s">
        <v>1505</v>
      </c>
      <c r="C640" s="4" t="s">
        <v>1506</v>
      </c>
      <c r="D640" s="4" t="s">
        <v>9</v>
      </c>
      <c r="E640" s="4" t="s">
        <v>23</v>
      </c>
      <c r="F640" s="5">
        <v>2.0</v>
      </c>
      <c r="G640" s="6">
        <v>398583.39</v>
      </c>
      <c r="H640" s="6">
        <v>797166.78</v>
      </c>
    </row>
    <row r="641">
      <c r="B641" s="4" t="s">
        <v>1507</v>
      </c>
      <c r="C641" s="4" t="s">
        <v>1508</v>
      </c>
      <c r="D641" s="4" t="s">
        <v>9</v>
      </c>
      <c r="E641" s="4" t="s">
        <v>23</v>
      </c>
      <c r="F641" s="5">
        <v>2.0</v>
      </c>
      <c r="G641" s="6">
        <v>347621.58</v>
      </c>
      <c r="H641" s="6">
        <v>695243.16</v>
      </c>
    </row>
    <row r="642">
      <c r="B642" s="4" t="s">
        <v>1510</v>
      </c>
      <c r="C642" s="4" t="s">
        <v>1511</v>
      </c>
      <c r="D642" s="4" t="s">
        <v>9</v>
      </c>
      <c r="E642" s="4" t="s">
        <v>23</v>
      </c>
      <c r="F642" s="5">
        <v>2.0</v>
      </c>
      <c r="G642" s="6">
        <v>1435626.91</v>
      </c>
      <c r="H642" s="6">
        <v>2871253.82</v>
      </c>
    </row>
    <row r="643">
      <c r="B643" s="4" t="s">
        <v>1512</v>
      </c>
      <c r="C643" s="4" t="s">
        <v>1513</v>
      </c>
      <c r="D643" s="4" t="s">
        <v>9</v>
      </c>
      <c r="E643" s="4" t="s">
        <v>23</v>
      </c>
      <c r="F643" s="5">
        <v>1.0</v>
      </c>
      <c r="G643" s="6">
        <v>2577845.96</v>
      </c>
      <c r="H643" s="6">
        <v>2577845.96</v>
      </c>
    </row>
    <row r="644">
      <c r="B644" s="4" t="s">
        <v>1514</v>
      </c>
      <c r="C644" s="4" t="s">
        <v>1515</v>
      </c>
      <c r="D644" s="4" t="s">
        <v>9</v>
      </c>
      <c r="E644" s="4" t="s">
        <v>23</v>
      </c>
      <c r="F644" s="5">
        <v>1.0</v>
      </c>
      <c r="G644" s="6">
        <v>350133.92</v>
      </c>
      <c r="H644" s="6">
        <v>350133.92</v>
      </c>
    </row>
    <row r="645">
      <c r="B645" s="4" t="s">
        <v>1517</v>
      </c>
      <c r="C645" s="4" t="s">
        <v>1518</v>
      </c>
      <c r="D645" s="4" t="s">
        <v>9</v>
      </c>
      <c r="E645" s="4" t="s">
        <v>23</v>
      </c>
      <c r="F645" s="5">
        <v>1.0</v>
      </c>
      <c r="G645" s="6">
        <v>1213891.03</v>
      </c>
      <c r="H645" s="6">
        <v>1213891.03</v>
      </c>
    </row>
    <row r="646">
      <c r="B646" s="4" t="s">
        <v>1519</v>
      </c>
      <c r="C646" s="4" t="s">
        <v>1520</v>
      </c>
      <c r="D646" s="4" t="s">
        <v>9</v>
      </c>
      <c r="E646" s="4" t="s">
        <v>23</v>
      </c>
      <c r="F646" s="5">
        <v>1.0</v>
      </c>
      <c r="G646" s="6">
        <v>302129.9</v>
      </c>
      <c r="H646" s="6">
        <v>302129.9</v>
      </c>
    </row>
    <row r="647">
      <c r="B647" s="4" t="s">
        <v>1521</v>
      </c>
      <c r="C647" s="4" t="s">
        <v>1522</v>
      </c>
      <c r="D647" s="4" t="s">
        <v>9</v>
      </c>
      <c r="E647" s="4" t="s">
        <v>23</v>
      </c>
      <c r="F647" s="5">
        <v>1.0</v>
      </c>
      <c r="G647" s="6">
        <v>258865.58</v>
      </c>
      <c r="H647" s="6">
        <v>258865.58</v>
      </c>
    </row>
    <row r="648">
      <c r="B648" s="4" t="s">
        <v>1523</v>
      </c>
      <c r="C648" s="4" t="s">
        <v>1524</v>
      </c>
      <c r="D648" s="4" t="s">
        <v>9</v>
      </c>
      <c r="E648" s="10"/>
      <c r="F648" s="5">
        <v>4.0</v>
      </c>
      <c r="G648" s="6">
        <v>89080.47</v>
      </c>
      <c r="H648" s="6">
        <v>356321.88</v>
      </c>
    </row>
    <row r="649">
      <c r="B649" s="4" t="s">
        <v>1525</v>
      </c>
      <c r="C649" s="4" t="s">
        <v>1526</v>
      </c>
      <c r="D649" s="4" t="s">
        <v>9</v>
      </c>
      <c r="E649" s="4" t="s">
        <v>23</v>
      </c>
      <c r="F649" s="5">
        <v>13.0</v>
      </c>
      <c r="G649" s="6">
        <v>19647.73</v>
      </c>
      <c r="H649" s="6">
        <v>255420.49</v>
      </c>
    </row>
    <row r="650">
      <c r="B650" s="4" t="s">
        <v>1527</v>
      </c>
      <c r="C650" s="4" t="s">
        <v>1528</v>
      </c>
      <c r="D650" s="4" t="s">
        <v>9</v>
      </c>
      <c r="E650" s="4" t="s">
        <v>23</v>
      </c>
      <c r="F650" s="5">
        <v>2.0</v>
      </c>
      <c r="G650" s="6">
        <v>510951.44</v>
      </c>
      <c r="H650" s="6">
        <v>1021902.88</v>
      </c>
    </row>
    <row r="651">
      <c r="B651" s="4" t="s">
        <v>1529</v>
      </c>
      <c r="C651" s="4" t="s">
        <v>1531</v>
      </c>
      <c r="D651" s="4" t="s">
        <v>9</v>
      </c>
      <c r="E651" s="4" t="s">
        <v>23</v>
      </c>
      <c r="F651" s="5">
        <v>1.0</v>
      </c>
      <c r="G651" s="6">
        <v>258596.04</v>
      </c>
      <c r="H651" s="6">
        <v>258596.04</v>
      </c>
    </row>
    <row r="652">
      <c r="B652" s="4" t="s">
        <v>1532</v>
      </c>
      <c r="C652" s="4" t="s">
        <v>1533</v>
      </c>
      <c r="D652" s="4" t="s">
        <v>9</v>
      </c>
      <c r="E652" s="4" t="s">
        <v>23</v>
      </c>
      <c r="F652" s="5">
        <v>2.0</v>
      </c>
      <c r="G652" s="6">
        <v>488093.78</v>
      </c>
      <c r="H652" s="6">
        <v>976187.56</v>
      </c>
    </row>
    <row r="653">
      <c r="B653" s="4" t="s">
        <v>1534</v>
      </c>
      <c r="C653" s="4" t="s">
        <v>1535</v>
      </c>
      <c r="D653" s="4" t="s">
        <v>9</v>
      </c>
      <c r="E653" s="4" t="s">
        <v>23</v>
      </c>
      <c r="F653" s="5">
        <v>3.0</v>
      </c>
      <c r="G653" s="6">
        <v>286466.5</v>
      </c>
      <c r="H653" s="6">
        <v>859399.5</v>
      </c>
    </row>
    <row r="654">
      <c r="B654" s="4" t="s">
        <v>1537</v>
      </c>
      <c r="C654" s="4" t="s">
        <v>1538</v>
      </c>
      <c r="D654" s="4" t="s">
        <v>9</v>
      </c>
      <c r="E654" s="4" t="s">
        <v>23</v>
      </c>
      <c r="F654" s="5">
        <v>4.0</v>
      </c>
      <c r="G654" s="6">
        <v>221042.51</v>
      </c>
      <c r="H654" s="6">
        <v>884170.04</v>
      </c>
    </row>
    <row r="655">
      <c r="B655" s="4" t="s">
        <v>1464</v>
      </c>
      <c r="C655" s="4" t="s">
        <v>1539</v>
      </c>
      <c r="D655" s="4" t="s">
        <v>9</v>
      </c>
      <c r="E655" s="4" t="s">
        <v>23</v>
      </c>
      <c r="F655" s="5">
        <v>4.0</v>
      </c>
      <c r="G655" s="6">
        <v>145089.82</v>
      </c>
      <c r="H655" s="6">
        <v>580359.28</v>
      </c>
    </row>
    <row r="656">
      <c r="B656" s="4" t="s">
        <v>1540</v>
      </c>
      <c r="C656" s="4" t="s">
        <v>1541</v>
      </c>
      <c r="D656" s="4" t="s">
        <v>9</v>
      </c>
      <c r="E656" s="4" t="s">
        <v>23</v>
      </c>
      <c r="F656" s="5">
        <v>26.0</v>
      </c>
      <c r="G656" s="6">
        <v>12608.88</v>
      </c>
      <c r="H656" s="6">
        <v>327830.88</v>
      </c>
    </row>
    <row r="657">
      <c r="B657" s="4" t="s">
        <v>1542</v>
      </c>
      <c r="C657" s="4" t="s">
        <v>1543</v>
      </c>
      <c r="D657" s="4" t="s">
        <v>9</v>
      </c>
      <c r="E657" s="4" t="s">
        <v>23</v>
      </c>
      <c r="F657" s="5">
        <v>1.0</v>
      </c>
      <c r="G657" s="6">
        <v>224311.54</v>
      </c>
      <c r="H657" s="6">
        <v>224311.54</v>
      </c>
    </row>
    <row r="658">
      <c r="B658" s="19" t="s">
        <v>1544</v>
      </c>
      <c r="C658" s="4" t="s">
        <v>1545</v>
      </c>
      <c r="D658" s="4" t="s">
        <v>9</v>
      </c>
      <c r="E658" s="4" t="s">
        <v>23</v>
      </c>
      <c r="F658" s="5">
        <v>12.0</v>
      </c>
      <c r="G658" s="6">
        <v>37398.24</v>
      </c>
      <c r="H658" s="6">
        <v>448778.88</v>
      </c>
    </row>
    <row r="659">
      <c r="B659" s="4" t="s">
        <v>1171</v>
      </c>
      <c r="C659" s="4" t="s">
        <v>1546</v>
      </c>
      <c r="D659" s="4" t="s">
        <v>9</v>
      </c>
      <c r="E659" s="4" t="s">
        <v>23</v>
      </c>
      <c r="F659" s="5">
        <v>20.0</v>
      </c>
      <c r="G659" s="6">
        <v>15591.3</v>
      </c>
      <c r="H659" s="6">
        <v>311826.0</v>
      </c>
    </row>
    <row r="660">
      <c r="B660" s="4" t="s">
        <v>1548</v>
      </c>
      <c r="C660" s="4" t="s">
        <v>1549</v>
      </c>
      <c r="D660" s="4" t="s">
        <v>9</v>
      </c>
      <c r="E660" s="4" t="s">
        <v>23</v>
      </c>
      <c r="F660" s="5">
        <v>12.0</v>
      </c>
      <c r="G660" s="6">
        <v>27202.96</v>
      </c>
      <c r="H660" s="6">
        <v>326435.52</v>
      </c>
    </row>
    <row r="661">
      <c r="B661" s="4" t="s">
        <v>1550</v>
      </c>
      <c r="C661" s="4" t="s">
        <v>1551</v>
      </c>
      <c r="D661" s="4" t="s">
        <v>9</v>
      </c>
      <c r="E661" s="4" t="s">
        <v>23</v>
      </c>
      <c r="F661" s="5">
        <v>8.0</v>
      </c>
      <c r="G661" s="6">
        <v>67175.28</v>
      </c>
      <c r="H661" s="6">
        <v>537402.24</v>
      </c>
    </row>
    <row r="662">
      <c r="B662" s="4" t="s">
        <v>1552</v>
      </c>
      <c r="C662" s="4" t="s">
        <v>1553</v>
      </c>
      <c r="D662" s="4" t="s">
        <v>9</v>
      </c>
      <c r="E662" s="4" t="s">
        <v>23</v>
      </c>
      <c r="F662" s="5">
        <v>64.0</v>
      </c>
      <c r="G662" s="6">
        <v>3326.99</v>
      </c>
      <c r="H662" s="6">
        <v>212927.36</v>
      </c>
    </row>
    <row r="663">
      <c r="B663" s="19" t="s">
        <v>1554</v>
      </c>
      <c r="C663" s="4" t="s">
        <v>1556</v>
      </c>
      <c r="D663" s="4" t="s">
        <v>9</v>
      </c>
      <c r="E663" s="10"/>
      <c r="F663" s="5">
        <v>42.0</v>
      </c>
      <c r="G663" s="6">
        <v>7558.91</v>
      </c>
      <c r="H663" s="6">
        <v>317474.22</v>
      </c>
    </row>
    <row r="664">
      <c r="B664" s="4" t="s">
        <v>1557</v>
      </c>
      <c r="C664" s="4" t="s">
        <v>1558</v>
      </c>
      <c r="D664" s="4" t="s">
        <v>9</v>
      </c>
      <c r="E664" s="10"/>
      <c r="F664" s="5">
        <v>14.0</v>
      </c>
      <c r="G664" s="6">
        <v>68098.02</v>
      </c>
      <c r="H664" s="6">
        <v>953372.28</v>
      </c>
    </row>
    <row r="665">
      <c r="B665" s="4" t="s">
        <v>1559</v>
      </c>
      <c r="C665" s="4" t="s">
        <v>1560</v>
      </c>
      <c r="D665" s="4" t="s">
        <v>9</v>
      </c>
      <c r="E665" s="4" t="s">
        <v>23</v>
      </c>
      <c r="F665" s="5">
        <v>6.0</v>
      </c>
      <c r="G665" s="6">
        <v>96291.78</v>
      </c>
      <c r="H665" s="6">
        <v>577750.68</v>
      </c>
    </row>
    <row r="666">
      <c r="B666" s="19" t="s">
        <v>1561</v>
      </c>
      <c r="C666" s="4" t="s">
        <v>1562</v>
      </c>
      <c r="D666" s="4" t="s">
        <v>9</v>
      </c>
      <c r="E666" s="4" t="s">
        <v>23</v>
      </c>
      <c r="F666" s="5">
        <v>16.0</v>
      </c>
      <c r="G666" s="6">
        <v>15429.62</v>
      </c>
      <c r="H666" s="6">
        <v>246873.92</v>
      </c>
    </row>
    <row r="667">
      <c r="B667" s="19" t="s">
        <v>1564</v>
      </c>
      <c r="C667" s="4" t="s">
        <v>1565</v>
      </c>
      <c r="D667" s="4" t="s">
        <v>9</v>
      </c>
      <c r="E667" s="4" t="s">
        <v>23</v>
      </c>
      <c r="F667" s="5">
        <v>19.0</v>
      </c>
      <c r="G667" s="6">
        <v>10830.61</v>
      </c>
      <c r="H667" s="6">
        <v>205781.59</v>
      </c>
    </row>
    <row r="668">
      <c r="B668" s="19" t="s">
        <v>1566</v>
      </c>
      <c r="C668" s="4" t="s">
        <v>1568</v>
      </c>
      <c r="D668" s="4" t="s">
        <v>9</v>
      </c>
      <c r="E668" s="4" t="s">
        <v>23</v>
      </c>
      <c r="F668" s="5">
        <v>5.0</v>
      </c>
      <c r="G668" s="6">
        <v>43259.72</v>
      </c>
      <c r="H668" s="6">
        <v>216298.6</v>
      </c>
    </row>
    <row r="669">
      <c r="B669" s="4" t="s">
        <v>1569</v>
      </c>
      <c r="C669" s="4" t="s">
        <v>1570</v>
      </c>
      <c r="D669" s="4" t="s">
        <v>9</v>
      </c>
      <c r="E669" s="4" t="s">
        <v>23</v>
      </c>
      <c r="F669" s="5">
        <v>4.0</v>
      </c>
      <c r="G669" s="6">
        <v>50680.62</v>
      </c>
      <c r="H669" s="6">
        <v>202722.48</v>
      </c>
    </row>
    <row r="670">
      <c r="B670" s="4" t="s">
        <v>1571</v>
      </c>
      <c r="C670" s="4" t="s">
        <v>1572</v>
      </c>
      <c r="D670" s="4" t="s">
        <v>9</v>
      </c>
      <c r="E670" s="4" t="s">
        <v>23</v>
      </c>
      <c r="F670" s="5">
        <v>6.0</v>
      </c>
      <c r="G670" s="6">
        <v>79969.78</v>
      </c>
      <c r="H670" s="6">
        <v>479818.68</v>
      </c>
    </row>
    <row r="671">
      <c r="B671" s="4" t="s">
        <v>1573</v>
      </c>
      <c r="C671" s="4" t="s">
        <v>1574</v>
      </c>
      <c r="D671" s="4" t="s">
        <v>9</v>
      </c>
      <c r="E671" s="4" t="s">
        <v>23</v>
      </c>
      <c r="F671" s="5">
        <v>8.0</v>
      </c>
      <c r="G671" s="6">
        <v>48020.62</v>
      </c>
      <c r="H671" s="6">
        <v>384164.96</v>
      </c>
    </row>
    <row r="672">
      <c r="B672" s="4" t="s">
        <v>1576</v>
      </c>
      <c r="C672" s="4" t="s">
        <v>1577</v>
      </c>
      <c r="D672" s="4" t="s">
        <v>9</v>
      </c>
      <c r="E672" s="4" t="s">
        <v>23</v>
      </c>
      <c r="F672" s="5">
        <v>6.0</v>
      </c>
      <c r="G672" s="6">
        <v>49176.73</v>
      </c>
      <c r="H672" s="6">
        <v>295060.38</v>
      </c>
    </row>
    <row r="673">
      <c r="B673" s="4" t="s">
        <v>1578</v>
      </c>
      <c r="C673" s="4" t="s">
        <v>1579</v>
      </c>
      <c r="D673" s="4" t="s">
        <v>9</v>
      </c>
      <c r="E673" s="4" t="s">
        <v>23</v>
      </c>
      <c r="F673" s="5">
        <v>2.0</v>
      </c>
      <c r="G673" s="6">
        <v>114388.74</v>
      </c>
      <c r="H673" s="6">
        <v>228777.48</v>
      </c>
    </row>
    <row r="674">
      <c r="B674" s="4" t="s">
        <v>1580</v>
      </c>
      <c r="C674" s="4" t="s">
        <v>1581</v>
      </c>
      <c r="D674" s="4" t="s">
        <v>9</v>
      </c>
      <c r="E674" s="4" t="s">
        <v>23</v>
      </c>
      <c r="F674" s="5">
        <v>5.0</v>
      </c>
      <c r="G674" s="6">
        <v>59603.72</v>
      </c>
      <c r="H674" s="6">
        <v>298018.6</v>
      </c>
    </row>
    <row r="675">
      <c r="B675" s="4" t="s">
        <v>1582</v>
      </c>
      <c r="C675" s="4" t="s">
        <v>1583</v>
      </c>
      <c r="D675" s="4" t="s">
        <v>9</v>
      </c>
      <c r="E675" s="4" t="s">
        <v>23</v>
      </c>
      <c r="F675" s="5">
        <v>2.0</v>
      </c>
      <c r="G675" s="6">
        <v>163528.38</v>
      </c>
      <c r="H675" s="6">
        <v>327056.76</v>
      </c>
    </row>
    <row r="676">
      <c r="B676" s="4" t="s">
        <v>1584</v>
      </c>
      <c r="C676" s="4" t="s">
        <v>1585</v>
      </c>
      <c r="D676" s="4" t="s">
        <v>9</v>
      </c>
      <c r="E676" s="4" t="s">
        <v>23</v>
      </c>
      <c r="F676" s="5">
        <v>2.0</v>
      </c>
      <c r="G676" s="6">
        <v>325880.72</v>
      </c>
      <c r="H676" s="6">
        <v>651761.44</v>
      </c>
    </row>
    <row r="677">
      <c r="B677" s="4" t="s">
        <v>1586</v>
      </c>
      <c r="C677" s="4" t="s">
        <v>1587</v>
      </c>
      <c r="D677" s="4" t="s">
        <v>9</v>
      </c>
      <c r="E677" s="4" t="s">
        <v>23</v>
      </c>
      <c r="F677" s="5">
        <v>4.0</v>
      </c>
      <c r="G677" s="6">
        <v>44559.66</v>
      </c>
      <c r="H677" s="6">
        <v>178238.64</v>
      </c>
    </row>
    <row r="678">
      <c r="B678" s="4" t="s">
        <v>1588</v>
      </c>
      <c r="C678" s="4" t="s">
        <v>1589</v>
      </c>
      <c r="D678" s="4" t="s">
        <v>9</v>
      </c>
      <c r="E678" s="4" t="s">
        <v>23</v>
      </c>
      <c r="F678" s="5">
        <v>4.0</v>
      </c>
      <c r="G678" s="6">
        <v>52231.55</v>
      </c>
      <c r="H678" s="6">
        <v>208926.2</v>
      </c>
    </row>
    <row r="679">
      <c r="B679" s="4" t="s">
        <v>1590</v>
      </c>
      <c r="C679" s="4" t="s">
        <v>1591</v>
      </c>
      <c r="D679" s="4" t="s">
        <v>9</v>
      </c>
      <c r="E679" s="4" t="s">
        <v>23</v>
      </c>
      <c r="F679" s="5">
        <v>1.0</v>
      </c>
      <c r="G679" s="6">
        <v>654997.59</v>
      </c>
      <c r="H679" s="6">
        <v>654997.59</v>
      </c>
    </row>
    <row r="680">
      <c r="B680" s="4" t="s">
        <v>1592</v>
      </c>
      <c r="C680" s="4" t="s">
        <v>1593</v>
      </c>
      <c r="D680" s="4" t="s">
        <v>9</v>
      </c>
      <c r="E680" s="4" t="s">
        <v>23</v>
      </c>
      <c r="F680" s="5">
        <v>2.0</v>
      </c>
      <c r="G680" s="6">
        <v>128836.05</v>
      </c>
      <c r="H680" s="6">
        <v>257672.1</v>
      </c>
    </row>
    <row r="681">
      <c r="B681" s="4" t="s">
        <v>1595</v>
      </c>
      <c r="C681" s="4" t="s">
        <v>1596</v>
      </c>
      <c r="D681" s="4" t="s">
        <v>9</v>
      </c>
      <c r="E681" s="4" t="s">
        <v>23</v>
      </c>
      <c r="F681" s="5">
        <v>2.0</v>
      </c>
      <c r="G681" s="6">
        <v>257137.05</v>
      </c>
      <c r="H681" s="6">
        <v>514274.1</v>
      </c>
    </row>
    <row r="682">
      <c r="B682" s="4" t="s">
        <v>1597</v>
      </c>
      <c r="C682" s="4" t="s">
        <v>1598</v>
      </c>
      <c r="D682" s="4" t="s">
        <v>9</v>
      </c>
      <c r="E682" s="4" t="s">
        <v>23</v>
      </c>
      <c r="F682" s="5">
        <v>2.0</v>
      </c>
      <c r="G682" s="6">
        <v>281011.62</v>
      </c>
      <c r="H682" s="6">
        <v>562023.24</v>
      </c>
    </row>
    <row r="683">
      <c r="B683" s="19" t="s">
        <v>1599</v>
      </c>
      <c r="C683" s="4" t="s">
        <v>1600</v>
      </c>
      <c r="D683" s="4" t="s">
        <v>9</v>
      </c>
      <c r="E683" s="4" t="s">
        <v>23</v>
      </c>
      <c r="F683" s="5">
        <v>1.0</v>
      </c>
      <c r="G683" s="6">
        <v>244623.94</v>
      </c>
      <c r="H683" s="6">
        <v>244623.94</v>
      </c>
    </row>
    <row r="684">
      <c r="B684" s="4" t="s">
        <v>1601</v>
      </c>
      <c r="C684" s="4" t="s">
        <v>1602</v>
      </c>
      <c r="D684" s="4" t="s">
        <v>9</v>
      </c>
      <c r="E684" s="4" t="s">
        <v>23</v>
      </c>
      <c r="F684" s="5">
        <v>6.0</v>
      </c>
      <c r="G684" s="6">
        <v>97983.29</v>
      </c>
      <c r="H684" s="6">
        <v>587899.74</v>
      </c>
    </row>
    <row r="685">
      <c r="B685" s="19" t="s">
        <v>1603</v>
      </c>
      <c r="C685" s="4" t="s">
        <v>1604</v>
      </c>
      <c r="D685" s="4" t="s">
        <v>9</v>
      </c>
      <c r="E685" s="4" t="s">
        <v>23</v>
      </c>
      <c r="F685" s="5">
        <v>1.0</v>
      </c>
      <c r="G685" s="6">
        <v>241448.41</v>
      </c>
      <c r="H685" s="6">
        <v>241448.41</v>
      </c>
    </row>
    <row r="686">
      <c r="B686" s="19" t="s">
        <v>1605</v>
      </c>
      <c r="C686" s="4" t="s">
        <v>1606</v>
      </c>
      <c r="D686" s="4" t="s">
        <v>9</v>
      </c>
      <c r="E686" s="4" t="s">
        <v>23</v>
      </c>
      <c r="F686" s="5">
        <v>1.0</v>
      </c>
      <c r="G686" s="6">
        <v>256663.79</v>
      </c>
      <c r="H686" s="6">
        <v>256663.79</v>
      </c>
    </row>
    <row r="687">
      <c r="B687" s="4" t="s">
        <v>1607</v>
      </c>
      <c r="C687" s="4" t="s">
        <v>1608</v>
      </c>
      <c r="D687" s="4" t="s">
        <v>9</v>
      </c>
      <c r="E687" s="4" t="s">
        <v>23</v>
      </c>
      <c r="F687" s="5">
        <v>24.0</v>
      </c>
      <c r="G687" s="6">
        <v>59548.38</v>
      </c>
      <c r="H687" s="6">
        <v>1429161.12</v>
      </c>
    </row>
    <row r="688">
      <c r="B688" s="19" t="s">
        <v>1167</v>
      </c>
      <c r="C688" s="4" t="s">
        <v>1610</v>
      </c>
      <c r="D688" s="4" t="s">
        <v>9</v>
      </c>
      <c r="E688" s="4" t="s">
        <v>23</v>
      </c>
      <c r="F688" s="5">
        <v>1.0</v>
      </c>
      <c r="G688" s="6">
        <v>355409.83</v>
      </c>
      <c r="H688" s="6">
        <v>355409.83</v>
      </c>
    </row>
    <row r="689">
      <c r="B689" s="4" t="s">
        <v>1611</v>
      </c>
      <c r="C689" s="4" t="s">
        <v>1612</v>
      </c>
      <c r="D689" s="4" t="s">
        <v>9</v>
      </c>
      <c r="E689" s="10"/>
      <c r="F689" s="5">
        <v>7.0</v>
      </c>
      <c r="G689" s="6">
        <v>25564.09</v>
      </c>
      <c r="H689" s="6">
        <v>178948.63</v>
      </c>
    </row>
    <row r="690">
      <c r="B690" s="4" t="s">
        <v>1613</v>
      </c>
      <c r="C690" s="4" t="s">
        <v>1614</v>
      </c>
      <c r="D690" s="4" t="s">
        <v>491</v>
      </c>
      <c r="E690" s="4" t="s">
        <v>23</v>
      </c>
      <c r="F690" s="5">
        <v>11.0</v>
      </c>
      <c r="G690" s="6">
        <v>22676.52</v>
      </c>
      <c r="H690" s="6">
        <v>249441.72</v>
      </c>
    </row>
    <row r="691">
      <c r="B691" s="4" t="s">
        <v>1615</v>
      </c>
      <c r="C691" s="4" t="s">
        <v>1616</v>
      </c>
      <c r="D691" s="4" t="s">
        <v>9</v>
      </c>
      <c r="E691" s="4" t="s">
        <v>10</v>
      </c>
      <c r="F691" s="5">
        <v>1.0</v>
      </c>
      <c r="G691" s="6">
        <v>464730.0</v>
      </c>
      <c r="H691" s="6">
        <v>464730.0</v>
      </c>
    </row>
    <row r="692">
      <c r="B692" s="4" t="s">
        <v>1617</v>
      </c>
      <c r="C692" s="4" t="s">
        <v>1618</v>
      </c>
      <c r="D692" s="4" t="s">
        <v>9</v>
      </c>
      <c r="E692" s="4" t="s">
        <v>23</v>
      </c>
      <c r="F692" s="5">
        <v>2.0</v>
      </c>
      <c r="G692" s="6">
        <v>106713.68</v>
      </c>
      <c r="H692" s="6">
        <v>213427.36</v>
      </c>
    </row>
    <row r="693">
      <c r="B693" s="4" t="s">
        <v>1619</v>
      </c>
      <c r="C693" s="4" t="s">
        <v>1620</v>
      </c>
      <c r="D693" s="4" t="s">
        <v>9</v>
      </c>
      <c r="E693" s="4" t="s">
        <v>23</v>
      </c>
      <c r="F693" s="5">
        <v>6.0</v>
      </c>
      <c r="G693" s="6">
        <v>57754.95</v>
      </c>
      <c r="H693" s="6">
        <v>346529.7</v>
      </c>
    </row>
    <row r="694">
      <c r="B694" s="19" t="s">
        <v>1621</v>
      </c>
      <c r="C694" s="4" t="s">
        <v>1622</v>
      </c>
      <c r="D694" s="4" t="s">
        <v>9</v>
      </c>
      <c r="E694" s="4" t="s">
        <v>23</v>
      </c>
      <c r="F694" s="5">
        <v>3.0</v>
      </c>
      <c r="G694" s="6">
        <v>411661.38</v>
      </c>
      <c r="H694" s="6">
        <v>1234984.14</v>
      </c>
    </row>
    <row r="695">
      <c r="B695" s="4" t="s">
        <v>1623</v>
      </c>
      <c r="C695" s="4" t="s">
        <v>1624</v>
      </c>
      <c r="D695" s="4" t="s">
        <v>9</v>
      </c>
      <c r="E695" s="4" t="s">
        <v>23</v>
      </c>
      <c r="F695" s="5">
        <v>11.0</v>
      </c>
      <c r="G695" s="6">
        <v>139232.65</v>
      </c>
      <c r="H695" s="6">
        <v>1531559.15</v>
      </c>
    </row>
    <row r="696">
      <c r="B696" s="19" t="s">
        <v>1626</v>
      </c>
      <c r="C696" s="4" t="s">
        <v>1627</v>
      </c>
      <c r="D696" s="4" t="s">
        <v>9</v>
      </c>
      <c r="E696" s="4" t="s">
        <v>23</v>
      </c>
      <c r="F696" s="5">
        <v>20.0</v>
      </c>
      <c r="G696" s="6">
        <v>16289.92</v>
      </c>
      <c r="H696" s="6">
        <v>325798.4</v>
      </c>
    </row>
    <row r="697">
      <c r="B697" s="19" t="s">
        <v>1628</v>
      </c>
      <c r="C697" s="4" t="s">
        <v>1629</v>
      </c>
      <c r="D697" s="4" t="s">
        <v>9</v>
      </c>
      <c r="E697" s="4" t="s">
        <v>23</v>
      </c>
      <c r="F697" s="5">
        <v>47.0</v>
      </c>
      <c r="G697" s="6">
        <v>6965.27</v>
      </c>
      <c r="H697" s="6">
        <v>327367.69</v>
      </c>
    </row>
    <row r="698">
      <c r="B698" s="4" t="s">
        <v>1630</v>
      </c>
      <c r="C698" s="4" t="s">
        <v>1631</v>
      </c>
      <c r="D698" s="4" t="s">
        <v>9</v>
      </c>
      <c r="E698" s="4" t="s">
        <v>23</v>
      </c>
      <c r="F698" s="5">
        <v>25.0</v>
      </c>
      <c r="G698" s="6">
        <v>9272.42</v>
      </c>
      <c r="H698" s="6">
        <v>231810.5</v>
      </c>
    </row>
    <row r="699">
      <c r="B699" s="4" t="s">
        <v>1632</v>
      </c>
      <c r="C699" s="4" t="s">
        <v>1633</v>
      </c>
      <c r="D699" s="4" t="s">
        <v>9</v>
      </c>
      <c r="E699" s="10"/>
      <c r="F699" s="5">
        <v>5.0</v>
      </c>
      <c r="G699" s="6">
        <v>80417.18</v>
      </c>
      <c r="H699" s="6">
        <v>402085.9</v>
      </c>
    </row>
    <row r="700">
      <c r="B700" s="4" t="s">
        <v>1634</v>
      </c>
      <c r="C700" s="4" t="s">
        <v>1635</v>
      </c>
      <c r="D700" s="4" t="s">
        <v>9</v>
      </c>
      <c r="E700" s="4" t="s">
        <v>23</v>
      </c>
      <c r="F700" s="5">
        <v>32.0</v>
      </c>
      <c r="G700" s="6">
        <v>29270.1</v>
      </c>
      <c r="H700" s="6">
        <v>936643.2</v>
      </c>
    </row>
    <row r="701">
      <c r="B701" s="19" t="s">
        <v>1636</v>
      </c>
      <c r="C701" s="4" t="s">
        <v>1637</v>
      </c>
      <c r="D701" s="4" t="s">
        <v>9</v>
      </c>
      <c r="E701" s="4" t="s">
        <v>23</v>
      </c>
      <c r="F701" s="5">
        <v>4.0</v>
      </c>
      <c r="G701" s="6">
        <v>46313.87</v>
      </c>
      <c r="H701" s="6">
        <v>185255.48</v>
      </c>
    </row>
    <row r="702">
      <c r="B702" s="4" t="s">
        <v>1639</v>
      </c>
      <c r="C702" s="4" t="s">
        <v>1640</v>
      </c>
      <c r="D702" s="4" t="s">
        <v>9</v>
      </c>
      <c r="E702" s="4" t="s">
        <v>23</v>
      </c>
      <c r="F702" s="5">
        <v>397.0</v>
      </c>
      <c r="G702" s="6">
        <v>2819.64</v>
      </c>
      <c r="H702" s="6">
        <v>1119397.08</v>
      </c>
    </row>
    <row r="703">
      <c r="B703" s="4" t="s">
        <v>1641</v>
      </c>
      <c r="C703" s="4" t="s">
        <v>1642</v>
      </c>
      <c r="D703" s="4" t="s">
        <v>9</v>
      </c>
      <c r="E703" s="4" t="s">
        <v>23</v>
      </c>
      <c r="F703" s="5">
        <v>52.0</v>
      </c>
      <c r="G703" s="6">
        <v>13405.73</v>
      </c>
      <c r="H703" s="6">
        <v>697097.96</v>
      </c>
    </row>
    <row r="704">
      <c r="B704" s="4" t="s">
        <v>1643</v>
      </c>
      <c r="C704" s="4" t="s">
        <v>1644</v>
      </c>
      <c r="D704" s="4" t="s">
        <v>9</v>
      </c>
      <c r="E704" s="4" t="s">
        <v>23</v>
      </c>
      <c r="F704" s="5">
        <v>42.0</v>
      </c>
      <c r="G704" s="6">
        <v>17315.8</v>
      </c>
      <c r="H704" s="6">
        <v>727263.6</v>
      </c>
    </row>
    <row r="705">
      <c r="B705" s="4" t="s">
        <v>1645</v>
      </c>
      <c r="C705" s="4" t="s">
        <v>1646</v>
      </c>
      <c r="D705" s="4" t="s">
        <v>9</v>
      </c>
      <c r="E705" s="4" t="s">
        <v>23</v>
      </c>
      <c r="F705" s="5">
        <v>11.0</v>
      </c>
      <c r="G705" s="6">
        <v>36355.19</v>
      </c>
      <c r="H705" s="6">
        <v>399907.09</v>
      </c>
    </row>
    <row r="706">
      <c r="B706" s="4" t="s">
        <v>1648</v>
      </c>
      <c r="C706" s="4" t="s">
        <v>1649</v>
      </c>
      <c r="D706" s="4" t="s">
        <v>9</v>
      </c>
      <c r="E706" s="4" t="s">
        <v>23</v>
      </c>
      <c r="F706" s="5">
        <v>9.0</v>
      </c>
      <c r="G706" s="6">
        <v>28816.46</v>
      </c>
      <c r="H706" s="6">
        <v>259348.14</v>
      </c>
    </row>
    <row r="707">
      <c r="B707" s="4" t="s">
        <v>1650</v>
      </c>
      <c r="C707" s="4" t="s">
        <v>1651</v>
      </c>
      <c r="D707" s="4" t="s">
        <v>9</v>
      </c>
      <c r="E707" s="4" t="s">
        <v>23</v>
      </c>
      <c r="F707" s="5">
        <v>12.0</v>
      </c>
      <c r="G707" s="6">
        <v>23646.48</v>
      </c>
      <c r="H707" s="6">
        <v>283757.76</v>
      </c>
    </row>
    <row r="708">
      <c r="B708" s="4" t="s">
        <v>1652</v>
      </c>
      <c r="C708" s="4" t="s">
        <v>1653</v>
      </c>
      <c r="D708" s="4" t="s">
        <v>9</v>
      </c>
      <c r="E708" s="4" t="s">
        <v>23</v>
      </c>
      <c r="F708" s="5">
        <v>17.0</v>
      </c>
      <c r="G708" s="6">
        <v>24359.26</v>
      </c>
      <c r="H708" s="6">
        <v>414107.42</v>
      </c>
    </row>
    <row r="709">
      <c r="B709" s="4" t="s">
        <v>1434</v>
      </c>
      <c r="C709" s="4" t="s">
        <v>1654</v>
      </c>
      <c r="D709" s="4" t="s">
        <v>9</v>
      </c>
      <c r="E709" s="4" t="s">
        <v>23</v>
      </c>
      <c r="F709" s="5">
        <v>219.0</v>
      </c>
      <c r="G709" s="6">
        <v>21529.36</v>
      </c>
      <c r="H709" s="6">
        <v>4714929.84</v>
      </c>
    </row>
    <row r="710">
      <c r="B710" s="4" t="s">
        <v>1445</v>
      </c>
      <c r="C710" s="4" t="s">
        <v>1655</v>
      </c>
      <c r="D710" s="4" t="s">
        <v>9</v>
      </c>
      <c r="E710" s="4" t="s">
        <v>23</v>
      </c>
      <c r="F710" s="5">
        <v>221.0</v>
      </c>
      <c r="G710" s="6">
        <v>18454.98</v>
      </c>
      <c r="H710" s="6">
        <v>4078550.58</v>
      </c>
    </row>
    <row r="711">
      <c r="B711" s="4" t="s">
        <v>1656</v>
      </c>
      <c r="C711" s="4" t="s">
        <v>1657</v>
      </c>
      <c r="D711" s="4" t="s">
        <v>9</v>
      </c>
      <c r="E711" s="4" t="s">
        <v>23</v>
      </c>
      <c r="F711" s="5">
        <v>60.0</v>
      </c>
      <c r="G711" s="6">
        <v>15509.99</v>
      </c>
      <c r="H711" s="6">
        <v>930599.4</v>
      </c>
    </row>
    <row r="712">
      <c r="B712" s="4" t="s">
        <v>1659</v>
      </c>
      <c r="C712" s="4" t="s">
        <v>1660</v>
      </c>
      <c r="D712" s="4" t="s">
        <v>9</v>
      </c>
      <c r="E712" s="4" t="s">
        <v>23</v>
      </c>
      <c r="F712" s="5">
        <v>326.0</v>
      </c>
      <c r="G712" s="6">
        <v>1618.66</v>
      </c>
      <c r="H712" s="6">
        <v>527683.16</v>
      </c>
    </row>
    <row r="713">
      <c r="B713" s="4" t="s">
        <v>1661</v>
      </c>
      <c r="C713" s="4" t="s">
        <v>1662</v>
      </c>
      <c r="D713" s="4" t="s">
        <v>9</v>
      </c>
      <c r="E713" s="4" t="s">
        <v>23</v>
      </c>
      <c r="F713" s="5">
        <v>16.0</v>
      </c>
      <c r="G713" s="6">
        <v>18447.3</v>
      </c>
      <c r="H713" s="6">
        <v>295156.8</v>
      </c>
    </row>
    <row r="714">
      <c r="B714" s="4" t="s">
        <v>1663</v>
      </c>
      <c r="C714" s="4" t="s">
        <v>1665</v>
      </c>
      <c r="D714" s="4" t="s">
        <v>9</v>
      </c>
      <c r="E714" s="4" t="s">
        <v>23</v>
      </c>
      <c r="F714" s="5">
        <v>42.0</v>
      </c>
      <c r="G714" s="6">
        <v>61305.88</v>
      </c>
      <c r="H714" s="6">
        <v>2574846.96</v>
      </c>
    </row>
    <row r="715">
      <c r="B715" s="4" t="s">
        <v>1666</v>
      </c>
      <c r="C715" s="4" t="s">
        <v>1667</v>
      </c>
      <c r="D715" s="4" t="s">
        <v>9</v>
      </c>
      <c r="E715" s="4" t="s">
        <v>23</v>
      </c>
      <c r="F715" s="5">
        <v>17.0</v>
      </c>
      <c r="G715" s="6">
        <v>75284.35</v>
      </c>
      <c r="H715" s="6">
        <v>1279833.95</v>
      </c>
    </row>
    <row r="716">
      <c r="B716" s="4" t="s">
        <v>1668</v>
      </c>
      <c r="C716" s="4" t="s">
        <v>1669</v>
      </c>
      <c r="D716" s="4" t="s">
        <v>9</v>
      </c>
      <c r="E716" s="4" t="s">
        <v>23</v>
      </c>
      <c r="F716" s="5">
        <v>5.0</v>
      </c>
      <c r="G716" s="6">
        <v>105321.13</v>
      </c>
      <c r="H716" s="6">
        <v>526605.65</v>
      </c>
    </row>
    <row r="717">
      <c r="B717" s="4" t="s">
        <v>1670</v>
      </c>
      <c r="C717" s="4" t="s">
        <v>1671</v>
      </c>
      <c r="D717" s="4" t="s">
        <v>9</v>
      </c>
      <c r="E717" s="10"/>
      <c r="F717" s="5">
        <v>290.0</v>
      </c>
      <c r="G717" s="6">
        <v>3275.67</v>
      </c>
      <c r="H717" s="6">
        <v>949944.3</v>
      </c>
    </row>
    <row r="718">
      <c r="B718" s="19" t="s">
        <v>1672</v>
      </c>
      <c r="C718" s="4" t="s">
        <v>1674</v>
      </c>
      <c r="D718" s="4" t="s">
        <v>9</v>
      </c>
      <c r="E718" s="4" t="s">
        <v>173</v>
      </c>
      <c r="F718" s="5">
        <v>12.0</v>
      </c>
      <c r="G718" s="6">
        <v>15624.44</v>
      </c>
      <c r="H718" s="6">
        <v>187493.28</v>
      </c>
    </row>
    <row r="719">
      <c r="B719" s="4" t="s">
        <v>1675</v>
      </c>
      <c r="C719" s="4" t="s">
        <v>1676</v>
      </c>
      <c r="D719" s="4" t="s">
        <v>9</v>
      </c>
      <c r="E719" s="4" t="s">
        <v>23</v>
      </c>
      <c r="F719" s="5">
        <v>34.0</v>
      </c>
      <c r="G719" s="6">
        <v>12159.42</v>
      </c>
      <c r="H719" s="6">
        <v>413420.28</v>
      </c>
    </row>
    <row r="720">
      <c r="B720" s="19" t="s">
        <v>1677</v>
      </c>
      <c r="C720" s="4" t="s">
        <v>1678</v>
      </c>
      <c r="D720" s="4" t="s">
        <v>9</v>
      </c>
      <c r="E720" s="4" t="s">
        <v>23</v>
      </c>
      <c r="F720" s="5">
        <v>248.0</v>
      </c>
      <c r="G720" s="6">
        <v>1132.82</v>
      </c>
      <c r="H720" s="6">
        <v>280939.36</v>
      </c>
    </row>
    <row r="721">
      <c r="B721" s="4" t="s">
        <v>1679</v>
      </c>
      <c r="C721" s="4" t="s">
        <v>1680</v>
      </c>
      <c r="D721" s="4" t="s">
        <v>9</v>
      </c>
      <c r="E721" s="4" t="s">
        <v>23</v>
      </c>
      <c r="F721" s="5">
        <v>28.0</v>
      </c>
      <c r="G721" s="6">
        <v>18814.94</v>
      </c>
      <c r="H721" s="6">
        <v>526818.32</v>
      </c>
    </row>
    <row r="722">
      <c r="B722" s="4" t="s">
        <v>1682</v>
      </c>
      <c r="C722" s="4" t="s">
        <v>1683</v>
      </c>
      <c r="D722" s="4" t="s">
        <v>9</v>
      </c>
      <c r="E722" s="4" t="s">
        <v>23</v>
      </c>
      <c r="F722" s="5">
        <v>16.0</v>
      </c>
      <c r="G722" s="6">
        <v>15643.27</v>
      </c>
      <c r="H722" s="6">
        <v>250292.32</v>
      </c>
    </row>
    <row r="723">
      <c r="B723" s="4" t="s">
        <v>1684</v>
      </c>
      <c r="C723" s="4" t="s">
        <v>1685</v>
      </c>
      <c r="D723" s="4" t="s">
        <v>9</v>
      </c>
      <c r="E723" s="4" t="s">
        <v>23</v>
      </c>
      <c r="F723" s="5">
        <v>18.0</v>
      </c>
      <c r="G723" s="6">
        <v>10027.39</v>
      </c>
      <c r="H723" s="6">
        <v>180493.02</v>
      </c>
    </row>
    <row r="724">
      <c r="B724" s="4" t="s">
        <v>1686</v>
      </c>
      <c r="C724" s="4" t="s">
        <v>1687</v>
      </c>
      <c r="D724" s="4" t="s">
        <v>9</v>
      </c>
      <c r="E724" s="4" t="s">
        <v>23</v>
      </c>
      <c r="F724" s="5">
        <v>31.0</v>
      </c>
      <c r="G724" s="6">
        <v>11498.86</v>
      </c>
      <c r="H724" s="6">
        <v>356464.66</v>
      </c>
    </row>
    <row r="725">
      <c r="B725" s="4" t="s">
        <v>1688</v>
      </c>
      <c r="C725" s="4" t="s">
        <v>1689</v>
      </c>
      <c r="D725" s="4" t="s">
        <v>9</v>
      </c>
      <c r="E725" s="4" t="s">
        <v>23</v>
      </c>
      <c r="F725" s="5">
        <v>25.0</v>
      </c>
      <c r="G725" s="6">
        <v>12115.95</v>
      </c>
      <c r="H725" s="6">
        <v>302898.75</v>
      </c>
    </row>
    <row r="726">
      <c r="B726" s="4" t="s">
        <v>1690</v>
      </c>
      <c r="C726" s="4" t="s">
        <v>1691</v>
      </c>
      <c r="D726" s="4" t="s">
        <v>9</v>
      </c>
      <c r="E726" s="4" t="s">
        <v>23</v>
      </c>
      <c r="F726" s="5">
        <v>14.0</v>
      </c>
      <c r="G726" s="6">
        <v>19236.75</v>
      </c>
      <c r="H726" s="6">
        <v>269314.5</v>
      </c>
    </row>
    <row r="727">
      <c r="B727" s="4" t="s">
        <v>1692</v>
      </c>
      <c r="C727" s="4" t="s">
        <v>1693</v>
      </c>
      <c r="D727" s="4" t="s">
        <v>9</v>
      </c>
      <c r="E727" s="4" t="s">
        <v>23</v>
      </c>
      <c r="F727" s="5">
        <v>64.0</v>
      </c>
      <c r="G727" s="6">
        <v>3613.26</v>
      </c>
      <c r="H727" s="6">
        <v>231248.64</v>
      </c>
    </row>
    <row r="728">
      <c r="B728" s="4" t="s">
        <v>1694</v>
      </c>
      <c r="C728" s="4" t="s">
        <v>1695</v>
      </c>
      <c r="D728" s="4" t="s">
        <v>9</v>
      </c>
      <c r="E728" s="4" t="s">
        <v>173</v>
      </c>
      <c r="F728" s="5">
        <v>24.0</v>
      </c>
      <c r="G728" s="6">
        <v>12632.59</v>
      </c>
      <c r="H728" s="6">
        <v>303182.16</v>
      </c>
    </row>
    <row r="729">
      <c r="B729" s="4" t="s">
        <v>1696</v>
      </c>
      <c r="C729" s="4" t="s">
        <v>1697</v>
      </c>
      <c r="D729" s="4" t="s">
        <v>9</v>
      </c>
      <c r="E729" s="4" t="s">
        <v>23</v>
      </c>
      <c r="F729" s="5">
        <v>33.0</v>
      </c>
      <c r="G729" s="6">
        <v>7499.86</v>
      </c>
      <c r="H729" s="6">
        <v>247495.38</v>
      </c>
    </row>
    <row r="730">
      <c r="B730" s="4" t="s">
        <v>1698</v>
      </c>
      <c r="C730" s="4" t="s">
        <v>1699</v>
      </c>
      <c r="D730" s="4" t="s">
        <v>9</v>
      </c>
      <c r="E730" s="4" t="s">
        <v>23</v>
      </c>
      <c r="F730" s="5">
        <v>4.0</v>
      </c>
      <c r="G730" s="6">
        <v>46832.85</v>
      </c>
      <c r="H730" s="6">
        <v>187331.4</v>
      </c>
    </row>
    <row r="731">
      <c r="B731" s="4" t="s">
        <v>1700</v>
      </c>
      <c r="C731" s="4" t="s">
        <v>1701</v>
      </c>
      <c r="D731" s="4" t="s">
        <v>9</v>
      </c>
      <c r="E731" s="4" t="s">
        <v>23</v>
      </c>
      <c r="F731" s="5">
        <v>1.0</v>
      </c>
      <c r="G731" s="6">
        <v>199012.9</v>
      </c>
      <c r="H731" s="6">
        <v>199012.9</v>
      </c>
    </row>
    <row r="732">
      <c r="B732" s="19" t="s">
        <v>1702</v>
      </c>
      <c r="C732" s="4" t="s">
        <v>1703</v>
      </c>
      <c r="D732" s="4" t="s">
        <v>9</v>
      </c>
      <c r="E732" s="4" t="s">
        <v>173</v>
      </c>
      <c r="F732" s="5">
        <v>14.0</v>
      </c>
      <c r="G732" s="6">
        <v>28761.03</v>
      </c>
      <c r="H732" s="6">
        <v>402654.42</v>
      </c>
    </row>
    <row r="733">
      <c r="B733" s="4" t="s">
        <v>1704</v>
      </c>
      <c r="C733" s="4" t="s">
        <v>1705</v>
      </c>
      <c r="D733" s="4" t="s">
        <v>9</v>
      </c>
      <c r="E733" s="4" t="s">
        <v>23</v>
      </c>
      <c r="F733" s="5">
        <v>4.0</v>
      </c>
      <c r="G733" s="6">
        <v>101633.06</v>
      </c>
      <c r="H733" s="6">
        <v>406532.24</v>
      </c>
    </row>
    <row r="734">
      <c r="B734" s="4" t="s">
        <v>1706</v>
      </c>
      <c r="C734" s="4" t="s">
        <v>1707</v>
      </c>
      <c r="D734" s="4" t="s">
        <v>9</v>
      </c>
      <c r="E734" s="4" t="s">
        <v>23</v>
      </c>
      <c r="F734" s="5">
        <v>16.0</v>
      </c>
      <c r="G734" s="6">
        <v>16305.24</v>
      </c>
      <c r="H734" s="6">
        <v>260883.84</v>
      </c>
    </row>
    <row r="735">
      <c r="B735" s="4" t="s">
        <v>1708</v>
      </c>
      <c r="C735" s="4" t="s">
        <v>1709</v>
      </c>
      <c r="D735" s="4" t="s">
        <v>9</v>
      </c>
      <c r="E735" s="4" t="s">
        <v>23</v>
      </c>
      <c r="F735" s="5">
        <v>26.0</v>
      </c>
      <c r="G735" s="6">
        <v>23763.46</v>
      </c>
      <c r="H735" s="6">
        <v>617849.96</v>
      </c>
    </row>
    <row r="736">
      <c r="B736" s="19" t="s">
        <v>1710</v>
      </c>
      <c r="C736" s="4" t="s">
        <v>1711</v>
      </c>
      <c r="D736" s="4" t="s">
        <v>9</v>
      </c>
      <c r="E736" s="4" t="s">
        <v>23</v>
      </c>
      <c r="F736" s="5">
        <v>8.0</v>
      </c>
      <c r="G736" s="6">
        <v>44827.59</v>
      </c>
      <c r="H736" s="6">
        <v>358620.72</v>
      </c>
    </row>
    <row r="737">
      <c r="B737" s="4" t="s">
        <v>1712</v>
      </c>
      <c r="C737" s="4" t="s">
        <v>1713</v>
      </c>
      <c r="D737" s="4" t="s">
        <v>9</v>
      </c>
      <c r="E737" s="4" t="s">
        <v>23</v>
      </c>
      <c r="F737" s="5">
        <v>16.0</v>
      </c>
      <c r="G737" s="6">
        <v>23594.84</v>
      </c>
      <c r="H737" s="6">
        <v>377517.44</v>
      </c>
    </row>
    <row r="738">
      <c r="B738" s="4" t="s">
        <v>1714</v>
      </c>
      <c r="C738" s="4" t="s">
        <v>1715</v>
      </c>
      <c r="D738" s="4" t="s">
        <v>9</v>
      </c>
      <c r="E738" s="4" t="s">
        <v>23</v>
      </c>
      <c r="F738" s="5">
        <v>16.0</v>
      </c>
      <c r="G738" s="6">
        <v>15281.41</v>
      </c>
      <c r="H738" s="6">
        <v>244502.56</v>
      </c>
    </row>
    <row r="739">
      <c r="B739" s="4" t="s">
        <v>1716</v>
      </c>
      <c r="C739" s="4" t="s">
        <v>1717</v>
      </c>
      <c r="D739" s="4" t="s">
        <v>9</v>
      </c>
      <c r="E739" s="4" t="s">
        <v>23</v>
      </c>
      <c r="F739" s="5">
        <v>8.0</v>
      </c>
      <c r="G739" s="6">
        <v>26159.46</v>
      </c>
      <c r="H739" s="6">
        <v>209275.68</v>
      </c>
    </row>
    <row r="740">
      <c r="B740" s="19" t="s">
        <v>1718</v>
      </c>
      <c r="C740" s="4" t="s">
        <v>1719</v>
      </c>
      <c r="D740" s="4" t="s">
        <v>9</v>
      </c>
      <c r="E740" s="4" t="s">
        <v>23</v>
      </c>
      <c r="F740" s="5">
        <v>15.0</v>
      </c>
      <c r="G740" s="6">
        <v>19321.06</v>
      </c>
      <c r="H740" s="6">
        <v>289815.9</v>
      </c>
    </row>
    <row r="741">
      <c r="B741" s="19" t="s">
        <v>1720</v>
      </c>
      <c r="C741" s="4" t="s">
        <v>1721</v>
      </c>
      <c r="D741" s="4" t="s">
        <v>9</v>
      </c>
      <c r="E741" s="4" t="s">
        <v>23</v>
      </c>
      <c r="F741" s="5">
        <v>23.0</v>
      </c>
      <c r="G741" s="6">
        <v>23572.85</v>
      </c>
      <c r="H741" s="6">
        <v>542175.55</v>
      </c>
    </row>
    <row r="742">
      <c r="B742" s="19" t="s">
        <v>1722</v>
      </c>
      <c r="C742" s="4" t="s">
        <v>1723</v>
      </c>
      <c r="D742" s="4" t="s">
        <v>9</v>
      </c>
      <c r="E742" s="4" t="s">
        <v>23</v>
      </c>
      <c r="F742" s="5">
        <v>48.0</v>
      </c>
      <c r="G742" s="6">
        <v>25240.33</v>
      </c>
      <c r="H742" s="6">
        <v>1211535.84</v>
      </c>
    </row>
    <row r="743">
      <c r="B743" s="4" t="s">
        <v>1724</v>
      </c>
      <c r="C743" s="4" t="s">
        <v>1725</v>
      </c>
      <c r="D743" s="4" t="s">
        <v>9</v>
      </c>
      <c r="E743" s="4" t="s">
        <v>23</v>
      </c>
      <c r="F743" s="5">
        <v>2.0</v>
      </c>
      <c r="G743" s="6">
        <v>151424.86</v>
      </c>
      <c r="H743" s="6">
        <v>302849.72</v>
      </c>
    </row>
    <row r="744">
      <c r="B744" s="4" t="s">
        <v>1726</v>
      </c>
      <c r="C744" s="4" t="s">
        <v>1727</v>
      </c>
      <c r="D744" s="4" t="s">
        <v>9</v>
      </c>
      <c r="E744" s="4" t="s">
        <v>23</v>
      </c>
      <c r="F744" s="5">
        <v>2.0</v>
      </c>
      <c r="G744" s="6">
        <v>151424.86</v>
      </c>
      <c r="H744" s="6">
        <v>302849.72</v>
      </c>
    </row>
    <row r="745">
      <c r="B745" s="4" t="s">
        <v>1728</v>
      </c>
      <c r="C745" s="4" t="s">
        <v>1729</v>
      </c>
      <c r="D745" s="4" t="s">
        <v>9</v>
      </c>
      <c r="E745" s="4" t="s">
        <v>173</v>
      </c>
      <c r="F745" s="5">
        <v>20.0</v>
      </c>
      <c r="G745" s="6">
        <v>17347.25</v>
      </c>
      <c r="H745" s="6">
        <v>346945.0</v>
      </c>
    </row>
    <row r="746">
      <c r="B746" s="4" t="s">
        <v>1730</v>
      </c>
      <c r="C746" s="4" t="s">
        <v>1731</v>
      </c>
      <c r="D746" s="4" t="s">
        <v>9</v>
      </c>
      <c r="E746" s="4" t="s">
        <v>10</v>
      </c>
      <c r="F746" s="5">
        <v>2.0</v>
      </c>
      <c r="G746" s="6">
        <v>234038.3</v>
      </c>
      <c r="H746" s="6">
        <v>468076.6</v>
      </c>
    </row>
    <row r="747">
      <c r="B747" s="4" t="s">
        <v>876</v>
      </c>
      <c r="C747" s="4" t="s">
        <v>1732</v>
      </c>
      <c r="D747" s="4" t="s">
        <v>9</v>
      </c>
      <c r="E747" s="4" t="s">
        <v>23</v>
      </c>
      <c r="F747" s="5">
        <v>3.0</v>
      </c>
      <c r="G747" s="6">
        <v>107455.85</v>
      </c>
      <c r="H747" s="6">
        <v>322367.55</v>
      </c>
    </row>
    <row r="748">
      <c r="B748" s="4" t="s">
        <v>1733</v>
      </c>
      <c r="C748" s="4" t="s">
        <v>1734</v>
      </c>
      <c r="D748" s="4" t="s">
        <v>9</v>
      </c>
      <c r="E748" s="4" t="s">
        <v>173</v>
      </c>
      <c r="F748" s="5">
        <v>23.0</v>
      </c>
      <c r="G748" s="6">
        <v>13625.76</v>
      </c>
      <c r="H748" s="6">
        <v>313392.48</v>
      </c>
    </row>
    <row r="749">
      <c r="B749" s="19" t="s">
        <v>1735</v>
      </c>
      <c r="C749" s="4" t="s">
        <v>1736</v>
      </c>
      <c r="D749" s="4" t="s">
        <v>9</v>
      </c>
      <c r="E749" s="4" t="s">
        <v>23</v>
      </c>
      <c r="F749" s="5">
        <v>6.0</v>
      </c>
      <c r="G749" s="6">
        <v>56301.87</v>
      </c>
      <c r="H749" s="6">
        <v>337811.22</v>
      </c>
    </row>
    <row r="750">
      <c r="B750" s="19" t="s">
        <v>1737</v>
      </c>
      <c r="C750" s="4" t="s">
        <v>1738</v>
      </c>
      <c r="D750" s="4" t="s">
        <v>9</v>
      </c>
      <c r="E750" s="4" t="s">
        <v>23</v>
      </c>
      <c r="F750" s="5">
        <v>6.0</v>
      </c>
      <c r="G750" s="6">
        <v>52206.55</v>
      </c>
      <c r="H750" s="6">
        <v>313239.3</v>
      </c>
    </row>
    <row r="751">
      <c r="B751" s="19" t="s">
        <v>1739</v>
      </c>
      <c r="C751" s="4" t="s">
        <v>1740</v>
      </c>
      <c r="D751" s="4" t="s">
        <v>9</v>
      </c>
      <c r="E751" s="4" t="s">
        <v>23</v>
      </c>
      <c r="F751" s="5">
        <v>15.0</v>
      </c>
      <c r="G751" s="6">
        <v>22438.19</v>
      </c>
      <c r="H751" s="6">
        <v>336572.85</v>
      </c>
    </row>
    <row r="752">
      <c r="B752" s="19" t="s">
        <v>1741</v>
      </c>
      <c r="C752" s="4" t="s">
        <v>1742</v>
      </c>
      <c r="D752" s="4" t="s">
        <v>9</v>
      </c>
      <c r="E752" s="4" t="s">
        <v>23</v>
      </c>
      <c r="F752" s="5">
        <v>1.0</v>
      </c>
      <c r="G752" s="6">
        <v>175633.64</v>
      </c>
      <c r="H752" s="6">
        <v>175633.64</v>
      </c>
    </row>
    <row r="753">
      <c r="B753" s="4" t="s">
        <v>1743</v>
      </c>
      <c r="C753" s="4" t="s">
        <v>1744</v>
      </c>
      <c r="D753" s="4" t="s">
        <v>9</v>
      </c>
      <c r="E753" s="4" t="s">
        <v>173</v>
      </c>
      <c r="F753" s="5">
        <v>30.0</v>
      </c>
      <c r="G753" s="6">
        <v>14219.22</v>
      </c>
      <c r="H753" s="6">
        <v>426576.6</v>
      </c>
    </row>
    <row r="754">
      <c r="B754" s="4" t="s">
        <v>1745</v>
      </c>
      <c r="C754" s="4" t="s">
        <v>1746</v>
      </c>
      <c r="D754" s="4" t="s">
        <v>9</v>
      </c>
      <c r="E754" s="4" t="s">
        <v>173</v>
      </c>
      <c r="F754" s="5">
        <v>16.0</v>
      </c>
      <c r="G754" s="6">
        <v>12147.92</v>
      </c>
      <c r="H754" s="6">
        <v>194366.72</v>
      </c>
    </row>
    <row r="755">
      <c r="B755" s="4" t="s">
        <v>1747</v>
      </c>
      <c r="C755" s="4" t="s">
        <v>1748</v>
      </c>
      <c r="D755" s="4" t="s">
        <v>9</v>
      </c>
      <c r="E755" s="4" t="s">
        <v>23</v>
      </c>
      <c r="F755" s="5">
        <v>1.0</v>
      </c>
      <c r="G755" s="6">
        <v>634086.1</v>
      </c>
      <c r="H755" s="6">
        <v>634086.1</v>
      </c>
    </row>
    <row r="756">
      <c r="B756" s="4" t="s">
        <v>1749</v>
      </c>
      <c r="C756" s="4" t="s">
        <v>1750</v>
      </c>
      <c r="D756" s="4" t="s">
        <v>9</v>
      </c>
      <c r="E756" s="4" t="s">
        <v>23</v>
      </c>
      <c r="F756" s="5">
        <v>1.0</v>
      </c>
      <c r="G756" s="6">
        <v>592323.84</v>
      </c>
      <c r="H756" s="6">
        <v>592323.84</v>
      </c>
    </row>
    <row r="757">
      <c r="B757" s="4" t="s">
        <v>1751</v>
      </c>
      <c r="C757" s="4" t="s">
        <v>1752</v>
      </c>
      <c r="D757" s="4" t="s">
        <v>9</v>
      </c>
      <c r="E757" s="10"/>
      <c r="F757" s="5">
        <v>1.0</v>
      </c>
      <c r="G757" s="6">
        <v>564836.72</v>
      </c>
      <c r="H757" s="6">
        <v>564836.72</v>
      </c>
    </row>
    <row r="758">
      <c r="B758" s="4" t="s">
        <v>1753</v>
      </c>
      <c r="C758" s="4" t="s">
        <v>1754</v>
      </c>
      <c r="D758" s="4" t="s">
        <v>9</v>
      </c>
      <c r="E758" s="4" t="s">
        <v>173</v>
      </c>
      <c r="F758" s="5">
        <v>64.0</v>
      </c>
      <c r="G758" s="6">
        <v>3536.55</v>
      </c>
      <c r="H758" s="6">
        <v>226339.2</v>
      </c>
    </row>
    <row r="759">
      <c r="B759" s="19" t="s">
        <v>1755</v>
      </c>
      <c r="C759" s="4" t="s">
        <v>1756</v>
      </c>
      <c r="D759" s="4" t="s">
        <v>9</v>
      </c>
      <c r="E759" s="4" t="s">
        <v>23</v>
      </c>
      <c r="F759" s="5">
        <v>10.0</v>
      </c>
      <c r="G759" s="6">
        <v>20347.59</v>
      </c>
      <c r="H759" s="6">
        <v>203475.9</v>
      </c>
    </row>
    <row r="760">
      <c r="B760" s="19" t="s">
        <v>1757</v>
      </c>
      <c r="C760" s="4" t="s">
        <v>1758</v>
      </c>
      <c r="D760" s="4" t="s">
        <v>9</v>
      </c>
      <c r="E760" s="4" t="s">
        <v>173</v>
      </c>
      <c r="F760" s="5">
        <v>10.0</v>
      </c>
      <c r="G760" s="6">
        <v>21512.69</v>
      </c>
      <c r="H760" s="6">
        <v>215126.9</v>
      </c>
    </row>
    <row r="761">
      <c r="B761" s="4" t="s">
        <v>1759</v>
      </c>
      <c r="C761" s="4" t="s">
        <v>1760</v>
      </c>
      <c r="D761" s="4" t="s">
        <v>9</v>
      </c>
      <c r="E761" s="4" t="s">
        <v>23</v>
      </c>
      <c r="F761" s="5">
        <v>2.0</v>
      </c>
      <c r="G761" s="6">
        <v>207861.79</v>
      </c>
      <c r="H761" s="6">
        <v>415723.58</v>
      </c>
    </row>
    <row r="762">
      <c r="B762" s="4" t="s">
        <v>1761</v>
      </c>
      <c r="C762" s="4" t="s">
        <v>1762</v>
      </c>
      <c r="D762" s="4" t="s">
        <v>9</v>
      </c>
      <c r="E762" s="4" t="s">
        <v>23</v>
      </c>
      <c r="F762" s="5">
        <v>20.0</v>
      </c>
      <c r="G762" s="6">
        <v>14163.96</v>
      </c>
      <c r="H762" s="6">
        <v>283279.2</v>
      </c>
    </row>
    <row r="763">
      <c r="B763" s="19" t="s">
        <v>1763</v>
      </c>
      <c r="C763" s="4" t="s">
        <v>1764</v>
      </c>
      <c r="D763" s="4" t="s">
        <v>9</v>
      </c>
      <c r="E763" s="4" t="s">
        <v>23</v>
      </c>
      <c r="F763" s="5">
        <v>8.0</v>
      </c>
      <c r="G763" s="6">
        <v>27203.49</v>
      </c>
      <c r="H763" s="6">
        <v>217627.92</v>
      </c>
    </row>
    <row r="764">
      <c r="B764" s="19" t="s">
        <v>1765</v>
      </c>
      <c r="C764" s="4" t="s">
        <v>1766</v>
      </c>
      <c r="D764" s="4" t="s">
        <v>9</v>
      </c>
      <c r="E764" s="4" t="s">
        <v>23</v>
      </c>
      <c r="F764" s="5">
        <v>38.0</v>
      </c>
      <c r="G764" s="6">
        <v>18084.27</v>
      </c>
      <c r="H764" s="6">
        <v>687202.26</v>
      </c>
    </row>
    <row r="765">
      <c r="B765" s="4" t="s">
        <v>895</v>
      </c>
      <c r="C765" s="4" t="s">
        <v>1767</v>
      </c>
      <c r="D765" s="4" t="s">
        <v>9</v>
      </c>
      <c r="E765" s="4" t="s">
        <v>23</v>
      </c>
      <c r="F765" s="5">
        <v>2.0</v>
      </c>
      <c r="G765" s="6">
        <v>137489.65</v>
      </c>
      <c r="H765" s="6">
        <v>274979.3</v>
      </c>
    </row>
    <row r="766">
      <c r="B766" s="4" t="s">
        <v>1768</v>
      </c>
      <c r="C766" s="4" t="s">
        <v>1769</v>
      </c>
      <c r="D766" s="4" t="s">
        <v>9</v>
      </c>
      <c r="E766" s="4" t="s">
        <v>173</v>
      </c>
      <c r="F766" s="5">
        <v>11.0</v>
      </c>
      <c r="G766" s="6">
        <v>19303.68</v>
      </c>
      <c r="H766" s="6">
        <v>212340.48</v>
      </c>
    </row>
    <row r="767">
      <c r="B767" s="4" t="s">
        <v>1770</v>
      </c>
      <c r="C767" s="4" t="s">
        <v>1771</v>
      </c>
      <c r="D767" s="4" t="s">
        <v>9</v>
      </c>
      <c r="E767" s="4" t="s">
        <v>23</v>
      </c>
      <c r="F767" s="5">
        <v>3.0</v>
      </c>
      <c r="G767" s="6">
        <v>98424.24</v>
      </c>
      <c r="H767" s="6">
        <v>295272.72</v>
      </c>
    </row>
    <row r="768">
      <c r="B768" s="4" t="s">
        <v>1772</v>
      </c>
      <c r="C768" s="4" t="s">
        <v>1773</v>
      </c>
      <c r="D768" s="4" t="s">
        <v>9</v>
      </c>
      <c r="E768" s="4" t="s">
        <v>173</v>
      </c>
      <c r="F768" s="5">
        <v>11.0</v>
      </c>
      <c r="G768" s="6">
        <v>27494.09</v>
      </c>
      <c r="H768" s="6">
        <v>302434.99</v>
      </c>
    </row>
    <row r="769">
      <c r="B769" s="4" t="s">
        <v>1774</v>
      </c>
      <c r="C769" s="4" t="s">
        <v>1775</v>
      </c>
      <c r="D769" s="4" t="s">
        <v>9</v>
      </c>
      <c r="E769" s="10"/>
      <c r="F769" s="5">
        <v>16.0</v>
      </c>
      <c r="G769" s="6">
        <v>24127.46</v>
      </c>
      <c r="H769" s="6">
        <v>386039.36</v>
      </c>
    </row>
    <row r="770">
      <c r="B770" s="4" t="s">
        <v>1776</v>
      </c>
      <c r="C770" s="4" t="s">
        <v>1777</v>
      </c>
      <c r="D770" s="4" t="s">
        <v>9</v>
      </c>
      <c r="E770" s="10"/>
      <c r="F770" s="5">
        <v>31.0</v>
      </c>
      <c r="G770" s="6">
        <v>26298.27</v>
      </c>
      <c r="H770" s="6">
        <v>815246.37</v>
      </c>
    </row>
    <row r="771">
      <c r="B771" s="4" t="s">
        <v>1778</v>
      </c>
      <c r="C771" s="4" t="s">
        <v>1779</v>
      </c>
      <c r="D771" s="4" t="s">
        <v>9</v>
      </c>
      <c r="E771" s="4" t="s">
        <v>23</v>
      </c>
      <c r="F771" s="5">
        <v>4.0</v>
      </c>
      <c r="G771" s="6">
        <v>48823.9</v>
      </c>
      <c r="H771" s="6">
        <v>195295.6</v>
      </c>
    </row>
    <row r="772">
      <c r="B772" s="4" t="s">
        <v>1555</v>
      </c>
      <c r="C772" s="4" t="s">
        <v>1780</v>
      </c>
      <c r="D772" s="4" t="s">
        <v>9</v>
      </c>
      <c r="E772" s="4" t="s">
        <v>23</v>
      </c>
      <c r="F772" s="5">
        <v>2.0</v>
      </c>
      <c r="G772" s="6">
        <v>346210.59</v>
      </c>
      <c r="H772" s="6">
        <v>692421.18</v>
      </c>
    </row>
    <row r="773">
      <c r="B773" s="4" t="s">
        <v>1781</v>
      </c>
      <c r="C773" s="4" t="s">
        <v>1782</v>
      </c>
      <c r="D773" s="4" t="s">
        <v>9</v>
      </c>
      <c r="E773" s="4" t="s">
        <v>23</v>
      </c>
      <c r="F773" s="5">
        <v>3.0</v>
      </c>
      <c r="G773" s="6">
        <v>142855.35</v>
      </c>
      <c r="H773" s="6">
        <v>428566.05</v>
      </c>
    </row>
    <row r="774">
      <c r="B774" s="4" t="s">
        <v>913</v>
      </c>
      <c r="C774" s="4" t="s">
        <v>1783</v>
      </c>
      <c r="D774" s="4" t="s">
        <v>9</v>
      </c>
      <c r="E774" s="4" t="s">
        <v>23</v>
      </c>
      <c r="F774" s="5">
        <v>6.0</v>
      </c>
      <c r="G774" s="6">
        <v>36447.48</v>
      </c>
      <c r="H774" s="6">
        <v>218684.88</v>
      </c>
    </row>
    <row r="775">
      <c r="B775" s="4" t="s">
        <v>1784</v>
      </c>
      <c r="C775" s="4" t="s">
        <v>1785</v>
      </c>
      <c r="D775" s="4" t="s">
        <v>9</v>
      </c>
      <c r="E775" s="4" t="s">
        <v>23</v>
      </c>
      <c r="F775" s="5">
        <v>3.0</v>
      </c>
      <c r="G775" s="6">
        <v>63120.31</v>
      </c>
      <c r="H775" s="6">
        <v>189360.93</v>
      </c>
    </row>
    <row r="776">
      <c r="B776" s="4" t="s">
        <v>1786</v>
      </c>
      <c r="C776" s="4" t="s">
        <v>1787</v>
      </c>
      <c r="D776" s="4" t="s">
        <v>9</v>
      </c>
      <c r="E776" s="4" t="s">
        <v>10</v>
      </c>
      <c r="F776" s="5">
        <v>89.0</v>
      </c>
      <c r="G776" s="6">
        <v>3025.0</v>
      </c>
      <c r="H776" s="6">
        <v>269225.0</v>
      </c>
    </row>
    <row r="777">
      <c r="B777" s="4" t="s">
        <v>1249</v>
      </c>
      <c r="C777" s="4" t="s">
        <v>1788</v>
      </c>
      <c r="D777" s="4" t="s">
        <v>9</v>
      </c>
      <c r="E777" s="4" t="s">
        <v>23</v>
      </c>
      <c r="F777" s="5">
        <v>40.0</v>
      </c>
      <c r="G777" s="6">
        <v>4673.07</v>
      </c>
      <c r="H777" s="6">
        <v>186922.8</v>
      </c>
    </row>
    <row r="778">
      <c r="B778" s="4" t="s">
        <v>1789</v>
      </c>
      <c r="C778" s="4" t="s">
        <v>1790</v>
      </c>
      <c r="D778" s="4" t="s">
        <v>9</v>
      </c>
      <c r="E778" s="10"/>
      <c r="F778" s="5">
        <v>290.0</v>
      </c>
      <c r="G778" s="6">
        <v>2456.75</v>
      </c>
      <c r="H778" s="6">
        <v>712457.5</v>
      </c>
    </row>
    <row r="779">
      <c r="B779" s="4" t="s">
        <v>1791</v>
      </c>
      <c r="C779" s="4" t="s">
        <v>1792</v>
      </c>
      <c r="D779" s="4" t="s">
        <v>9</v>
      </c>
      <c r="E779" s="4" t="s">
        <v>173</v>
      </c>
      <c r="F779" s="5">
        <v>6.0</v>
      </c>
      <c r="G779" s="6">
        <v>45627.14</v>
      </c>
      <c r="H779" s="6">
        <v>273762.84</v>
      </c>
    </row>
    <row r="780">
      <c r="B780" s="4" t="s">
        <v>1793</v>
      </c>
      <c r="C780" s="4" t="s">
        <v>1794</v>
      </c>
      <c r="D780" s="4" t="s">
        <v>9</v>
      </c>
      <c r="E780" s="4" t="s">
        <v>173</v>
      </c>
      <c r="F780" s="5">
        <v>8.0</v>
      </c>
      <c r="G780" s="6">
        <v>24774.6</v>
      </c>
      <c r="H780" s="6">
        <v>198196.8</v>
      </c>
    </row>
    <row r="781">
      <c r="B781" s="19" t="s">
        <v>1795</v>
      </c>
      <c r="C781" s="4" t="s">
        <v>1796</v>
      </c>
      <c r="D781" s="4" t="s">
        <v>9</v>
      </c>
      <c r="E781" s="4" t="s">
        <v>173</v>
      </c>
      <c r="F781" s="5">
        <v>31.0</v>
      </c>
      <c r="G781" s="6">
        <v>7805.93</v>
      </c>
      <c r="H781" s="6">
        <v>241983.83</v>
      </c>
    </row>
    <row r="782">
      <c r="B782" s="4" t="s">
        <v>1797</v>
      </c>
      <c r="C782" s="4" t="s">
        <v>1798</v>
      </c>
      <c r="D782" s="4" t="s">
        <v>9</v>
      </c>
      <c r="E782" s="4" t="s">
        <v>23</v>
      </c>
      <c r="F782" s="5">
        <v>206.0</v>
      </c>
      <c r="G782" s="6">
        <v>1342.99</v>
      </c>
      <c r="H782" s="6">
        <v>276655.94</v>
      </c>
    </row>
    <row r="783">
      <c r="B783" s="19" t="s">
        <v>1799</v>
      </c>
      <c r="C783" s="4" t="s">
        <v>1800</v>
      </c>
      <c r="D783" s="4" t="s">
        <v>9</v>
      </c>
      <c r="E783" s="4" t="s">
        <v>23</v>
      </c>
      <c r="F783" s="5">
        <v>12.0</v>
      </c>
      <c r="G783" s="6">
        <v>21034.47</v>
      </c>
      <c r="H783" s="6">
        <v>252413.64</v>
      </c>
    </row>
    <row r="784">
      <c r="B784" s="4" t="s">
        <v>1801</v>
      </c>
      <c r="C784" s="4" t="s">
        <v>1802</v>
      </c>
      <c r="D784" s="4" t="s">
        <v>9</v>
      </c>
      <c r="E784" s="4" t="s">
        <v>23</v>
      </c>
      <c r="F784" s="5">
        <v>4.0</v>
      </c>
      <c r="G784" s="6">
        <v>59798.92</v>
      </c>
      <c r="H784" s="6">
        <v>239195.68</v>
      </c>
    </row>
    <row r="785">
      <c r="B785" s="19" t="s">
        <v>1803</v>
      </c>
      <c r="C785" s="4" t="s">
        <v>1804</v>
      </c>
      <c r="D785" s="4" t="s">
        <v>9</v>
      </c>
      <c r="E785" s="4" t="s">
        <v>23</v>
      </c>
      <c r="F785" s="5">
        <v>30.0</v>
      </c>
      <c r="G785" s="6">
        <v>106750.58</v>
      </c>
      <c r="H785" s="6">
        <v>3202517.4</v>
      </c>
    </row>
    <row r="786">
      <c r="B786" s="4" t="s">
        <v>1805</v>
      </c>
      <c r="C786" s="4" t="s">
        <v>1806</v>
      </c>
      <c r="D786" s="4" t="s">
        <v>9</v>
      </c>
      <c r="E786" s="4" t="s">
        <v>23</v>
      </c>
      <c r="F786" s="5">
        <v>1.0</v>
      </c>
      <c r="G786" s="6">
        <v>560232.62</v>
      </c>
      <c r="H786" s="6">
        <v>560232.62</v>
      </c>
    </row>
    <row r="787">
      <c r="B787" s="4" t="s">
        <v>1190</v>
      </c>
      <c r="C787" s="4" t="s">
        <v>1807</v>
      </c>
      <c r="D787" s="4" t="s">
        <v>9</v>
      </c>
      <c r="E787" s="4" t="s">
        <v>23</v>
      </c>
      <c r="F787" s="5">
        <v>16.0</v>
      </c>
      <c r="G787" s="6">
        <v>16326.41</v>
      </c>
      <c r="H787" s="6">
        <v>261222.56</v>
      </c>
    </row>
    <row r="788">
      <c r="B788" s="4" t="s">
        <v>1808</v>
      </c>
      <c r="C788" s="4" t="s">
        <v>1809</v>
      </c>
      <c r="D788" s="4" t="s">
        <v>9</v>
      </c>
      <c r="E788" s="4" t="s">
        <v>23</v>
      </c>
      <c r="F788" s="5">
        <v>1.0</v>
      </c>
      <c r="G788" s="6">
        <v>249475.65</v>
      </c>
      <c r="H788" s="6">
        <v>249475.65</v>
      </c>
    </row>
    <row r="789">
      <c r="B789" s="4" t="s">
        <v>1810</v>
      </c>
      <c r="C789" s="4" t="s">
        <v>1811</v>
      </c>
      <c r="D789" s="4" t="s">
        <v>9</v>
      </c>
      <c r="E789" s="4" t="s">
        <v>23</v>
      </c>
      <c r="F789" s="5">
        <v>1.0</v>
      </c>
      <c r="G789" s="6">
        <v>693015.45</v>
      </c>
      <c r="H789" s="6">
        <v>693015.45</v>
      </c>
    </row>
    <row r="790">
      <c r="B790" s="4" t="s">
        <v>1812</v>
      </c>
      <c r="C790" s="4" t="s">
        <v>1813</v>
      </c>
      <c r="D790" s="4" t="s">
        <v>9</v>
      </c>
      <c r="E790" s="4" t="s">
        <v>23</v>
      </c>
      <c r="F790" s="5">
        <v>1.0</v>
      </c>
      <c r="G790" s="6">
        <v>183216.5</v>
      </c>
      <c r="H790" s="6">
        <v>183216.5</v>
      </c>
    </row>
    <row r="791">
      <c r="B791" s="4" t="s">
        <v>1814</v>
      </c>
      <c r="C791" s="4" t="s">
        <v>1815</v>
      </c>
      <c r="D791" s="4" t="s">
        <v>9</v>
      </c>
      <c r="E791" s="4" t="s">
        <v>173</v>
      </c>
      <c r="F791" s="5">
        <v>5.0</v>
      </c>
      <c r="G791" s="6">
        <v>61690.3</v>
      </c>
      <c r="H791" s="6">
        <v>308451.5</v>
      </c>
    </row>
    <row r="792">
      <c r="B792" s="4" t="s">
        <v>1816</v>
      </c>
      <c r="C792" s="4" t="s">
        <v>1817</v>
      </c>
      <c r="D792" s="4" t="s">
        <v>9</v>
      </c>
      <c r="E792" s="10"/>
      <c r="F792" s="5">
        <v>1.0</v>
      </c>
      <c r="G792" s="6">
        <v>203926.05</v>
      </c>
      <c r="H792" s="6">
        <v>203926.05</v>
      </c>
    </row>
    <row r="793">
      <c r="B793" s="19" t="s">
        <v>1818</v>
      </c>
      <c r="C793" s="4" t="s">
        <v>1819</v>
      </c>
      <c r="D793" s="4" t="s">
        <v>9</v>
      </c>
      <c r="E793" s="4" t="s">
        <v>10</v>
      </c>
      <c r="F793" s="5">
        <v>4.0</v>
      </c>
      <c r="G793" s="6">
        <v>57185.71</v>
      </c>
      <c r="H793" s="6">
        <v>228742.84</v>
      </c>
    </row>
    <row r="794">
      <c r="B794" s="4" t="s">
        <v>1820</v>
      </c>
      <c r="C794" s="4" t="s">
        <v>1821</v>
      </c>
      <c r="D794" s="4" t="s">
        <v>9</v>
      </c>
      <c r="E794" s="4" t="s">
        <v>10</v>
      </c>
      <c r="F794" s="5">
        <v>1.0</v>
      </c>
      <c r="G794" s="6">
        <v>944000.0</v>
      </c>
      <c r="H794" s="6">
        <v>944000.0</v>
      </c>
    </row>
    <row r="795">
      <c r="B795" s="4" t="s">
        <v>1822</v>
      </c>
      <c r="C795" s="4" t="s">
        <v>1823</v>
      </c>
      <c r="D795" s="4" t="s">
        <v>9</v>
      </c>
      <c r="E795" s="4" t="s">
        <v>23</v>
      </c>
      <c r="F795" s="5">
        <v>23.0</v>
      </c>
      <c r="G795" s="6">
        <v>9586.08</v>
      </c>
      <c r="H795" s="6">
        <v>220479.84</v>
      </c>
    </row>
    <row r="796">
      <c r="B796" s="4" t="s">
        <v>1824</v>
      </c>
      <c r="C796" s="4" t="s">
        <v>1825</v>
      </c>
      <c r="D796" s="4" t="s">
        <v>9</v>
      </c>
      <c r="E796" s="4" t="s">
        <v>10</v>
      </c>
      <c r="F796" s="5">
        <v>3.0</v>
      </c>
      <c r="G796" s="6">
        <v>79149.11</v>
      </c>
      <c r="H796" s="6">
        <v>237447.33</v>
      </c>
    </row>
    <row r="797">
      <c r="B797" s="4" t="s">
        <v>238</v>
      </c>
      <c r="C797" s="4" t="s">
        <v>1826</v>
      </c>
      <c r="D797" s="4" t="s">
        <v>9</v>
      </c>
      <c r="E797" s="4" t="s">
        <v>10</v>
      </c>
      <c r="F797" s="5">
        <v>4.0</v>
      </c>
      <c r="G797" s="6">
        <v>82362.0</v>
      </c>
      <c r="H797" s="6">
        <v>329448.0</v>
      </c>
    </row>
    <row r="798">
      <c r="B798" s="4" t="s">
        <v>286</v>
      </c>
      <c r="C798" s="4" t="s">
        <v>1827</v>
      </c>
      <c r="D798" s="4" t="s">
        <v>9</v>
      </c>
      <c r="E798" s="4" t="s">
        <v>10</v>
      </c>
      <c r="F798" s="5">
        <v>1.0</v>
      </c>
      <c r="G798" s="6">
        <v>232612.8</v>
      </c>
      <c r="H798" s="6">
        <v>232612.8</v>
      </c>
    </row>
    <row r="799">
      <c r="B799" s="4" t="s">
        <v>223</v>
      </c>
      <c r="C799" s="4" t="s">
        <v>1828</v>
      </c>
      <c r="D799" s="4" t="s">
        <v>9</v>
      </c>
      <c r="E799" s="4" t="s">
        <v>10</v>
      </c>
      <c r="F799" s="5">
        <v>5.0</v>
      </c>
      <c r="G799" s="6">
        <v>95939.0</v>
      </c>
      <c r="H799" s="6">
        <v>479695.0</v>
      </c>
    </row>
    <row r="800">
      <c r="B800" s="4" t="s">
        <v>1829</v>
      </c>
      <c r="C800" s="4" t="s">
        <v>1830</v>
      </c>
      <c r="D800" s="4" t="s">
        <v>9</v>
      </c>
      <c r="E800" s="4" t="s">
        <v>10</v>
      </c>
      <c r="F800" s="5">
        <v>4.0</v>
      </c>
      <c r="G800" s="6">
        <v>60001.0</v>
      </c>
      <c r="H800" s="6">
        <v>240004.0</v>
      </c>
    </row>
    <row r="801">
      <c r="B801" s="4" t="s">
        <v>418</v>
      </c>
      <c r="C801" s="4" t="s">
        <v>1831</v>
      </c>
      <c r="D801" s="4" t="s">
        <v>9</v>
      </c>
      <c r="E801" s="4" t="s">
        <v>10</v>
      </c>
      <c r="F801" s="5">
        <v>8.0</v>
      </c>
      <c r="G801" s="6">
        <v>103521.0</v>
      </c>
      <c r="H801" s="6">
        <v>828168.0</v>
      </c>
    </row>
    <row r="802">
      <c r="B802" s="4" t="s">
        <v>399</v>
      </c>
      <c r="C802" s="4" t="s">
        <v>1832</v>
      </c>
      <c r="D802" s="4" t="s">
        <v>9</v>
      </c>
      <c r="E802" s="4" t="s">
        <v>10</v>
      </c>
      <c r="F802" s="5">
        <v>11.0</v>
      </c>
      <c r="G802" s="6">
        <v>63110.0</v>
      </c>
      <c r="H802" s="6">
        <v>694210.0</v>
      </c>
    </row>
    <row r="803">
      <c r="B803" s="4" t="s">
        <v>1833</v>
      </c>
      <c r="C803" s="4" t="s">
        <v>1834</v>
      </c>
      <c r="D803" s="4" t="s">
        <v>9</v>
      </c>
      <c r="E803" s="4" t="s">
        <v>10</v>
      </c>
      <c r="F803" s="5">
        <v>4.0</v>
      </c>
      <c r="G803" s="6">
        <v>55300.0</v>
      </c>
      <c r="H803" s="6">
        <v>221200.0</v>
      </c>
    </row>
    <row r="804">
      <c r="B804" s="4" t="s">
        <v>1835</v>
      </c>
      <c r="C804" s="4" t="s">
        <v>1836</v>
      </c>
      <c r="D804" s="4" t="s">
        <v>9</v>
      </c>
      <c r="E804" s="4" t="s">
        <v>10</v>
      </c>
      <c r="F804" s="5">
        <v>2.0</v>
      </c>
      <c r="G804" s="6">
        <v>309620.1</v>
      </c>
      <c r="H804" s="6">
        <v>619240.2</v>
      </c>
    </row>
    <row r="805">
      <c r="B805" s="4" t="s">
        <v>1837</v>
      </c>
      <c r="C805" s="4" t="s">
        <v>1838</v>
      </c>
      <c r="D805" s="4" t="s">
        <v>9</v>
      </c>
      <c r="E805" s="4" t="s">
        <v>23</v>
      </c>
      <c r="F805" s="5">
        <v>2.0</v>
      </c>
      <c r="G805" s="6">
        <v>206589.35</v>
      </c>
      <c r="H805" s="6">
        <v>413178.7</v>
      </c>
    </row>
    <row r="806">
      <c r="B806" s="4" t="s">
        <v>380</v>
      </c>
      <c r="C806" s="4" t="s">
        <v>1839</v>
      </c>
      <c r="D806" s="4" t="s">
        <v>9</v>
      </c>
      <c r="E806" s="4" t="s">
        <v>10</v>
      </c>
      <c r="F806" s="5">
        <v>2.0</v>
      </c>
      <c r="G806" s="6">
        <v>440150.0</v>
      </c>
      <c r="H806" s="6">
        <v>880300.0</v>
      </c>
    </row>
    <row r="807">
      <c r="B807" s="19" t="s">
        <v>1840</v>
      </c>
      <c r="C807" s="4" t="s">
        <v>1841</v>
      </c>
      <c r="D807" s="4" t="s">
        <v>9</v>
      </c>
      <c r="E807" s="4" t="s">
        <v>10</v>
      </c>
      <c r="F807" s="5">
        <v>84.0</v>
      </c>
      <c r="G807" s="6">
        <v>2408.89</v>
      </c>
      <c r="H807" s="6">
        <v>202346.76</v>
      </c>
    </row>
    <row r="808">
      <c r="B808" s="4" t="s">
        <v>1842</v>
      </c>
      <c r="C808" s="4" t="s">
        <v>1843</v>
      </c>
      <c r="D808" s="4" t="s">
        <v>9</v>
      </c>
      <c r="E808" s="4" t="s">
        <v>10</v>
      </c>
      <c r="F808" s="5">
        <v>2.0</v>
      </c>
      <c r="G808" s="6">
        <v>216588.98</v>
      </c>
      <c r="H808" s="6">
        <v>433177.96</v>
      </c>
    </row>
    <row r="809">
      <c r="B809" s="4" t="s">
        <v>471</v>
      </c>
      <c r="C809" s="4" t="s">
        <v>1844</v>
      </c>
      <c r="D809" s="4" t="s">
        <v>9</v>
      </c>
      <c r="E809" s="4" t="s">
        <v>10</v>
      </c>
      <c r="F809" s="5">
        <v>8.0</v>
      </c>
      <c r="G809" s="6">
        <v>27300.0</v>
      </c>
      <c r="H809" s="6">
        <v>218400.0</v>
      </c>
    </row>
    <row r="810">
      <c r="B810" s="4" t="s">
        <v>1845</v>
      </c>
      <c r="C810" s="4" t="s">
        <v>1846</v>
      </c>
      <c r="D810" s="4" t="s">
        <v>9</v>
      </c>
      <c r="E810" s="4" t="s">
        <v>10</v>
      </c>
      <c r="F810" s="5">
        <v>1.0</v>
      </c>
      <c r="G810" s="6">
        <v>352259.05</v>
      </c>
      <c r="H810" s="6">
        <v>352259.05</v>
      </c>
    </row>
    <row r="811">
      <c r="B811" s="19" t="s">
        <v>1847</v>
      </c>
      <c r="C811" s="4" t="s">
        <v>1848</v>
      </c>
      <c r="D811" s="4" t="s">
        <v>9</v>
      </c>
      <c r="E811" s="4" t="s">
        <v>10</v>
      </c>
      <c r="F811" s="5">
        <v>5.0</v>
      </c>
      <c r="G811" s="6">
        <v>54642.71</v>
      </c>
      <c r="H811" s="6">
        <v>273213.55</v>
      </c>
    </row>
    <row r="812">
      <c r="B812" s="4" t="s">
        <v>1849</v>
      </c>
      <c r="C812" s="4" t="s">
        <v>1850</v>
      </c>
      <c r="D812" s="4" t="s">
        <v>9</v>
      </c>
      <c r="E812" s="4" t="s">
        <v>10</v>
      </c>
      <c r="F812" s="5">
        <v>47.0</v>
      </c>
      <c r="G812" s="6">
        <v>4793.67</v>
      </c>
      <c r="H812" s="6">
        <v>225302.49</v>
      </c>
    </row>
    <row r="813">
      <c r="B813" s="4" t="s">
        <v>185</v>
      </c>
      <c r="C813" s="4" t="s">
        <v>1851</v>
      </c>
      <c r="D813" s="4" t="s">
        <v>9</v>
      </c>
      <c r="E813" s="4" t="s">
        <v>10</v>
      </c>
      <c r="F813" s="5">
        <v>3.0</v>
      </c>
      <c r="G813" s="6">
        <v>238904.39</v>
      </c>
      <c r="H813" s="6">
        <v>716713.17</v>
      </c>
    </row>
    <row r="814">
      <c r="B814" s="4" t="s">
        <v>166</v>
      </c>
      <c r="C814" s="4" t="s">
        <v>1852</v>
      </c>
      <c r="D814" s="4" t="s">
        <v>9</v>
      </c>
      <c r="E814" s="4" t="s">
        <v>10</v>
      </c>
      <c r="F814" s="5">
        <v>1.0</v>
      </c>
      <c r="G814" s="6">
        <v>892812.0</v>
      </c>
      <c r="H814" s="6">
        <v>892812.0</v>
      </c>
    </row>
    <row r="815">
      <c r="B815" s="4" t="s">
        <v>1853</v>
      </c>
      <c r="C815" s="4" t="s">
        <v>1854</v>
      </c>
      <c r="D815" s="4" t="s">
        <v>9</v>
      </c>
      <c r="E815" s="4" t="s">
        <v>10</v>
      </c>
      <c r="F815" s="5">
        <v>1.0</v>
      </c>
      <c r="G815" s="6">
        <v>202523.73</v>
      </c>
      <c r="H815" s="6">
        <v>202523.73</v>
      </c>
    </row>
    <row r="816">
      <c r="B816" s="4" t="s">
        <v>1855</v>
      </c>
      <c r="C816" s="4" t="s">
        <v>1856</v>
      </c>
      <c r="D816" s="4" t="s">
        <v>9</v>
      </c>
      <c r="E816" s="4" t="s">
        <v>10</v>
      </c>
      <c r="F816" s="5">
        <v>1.0</v>
      </c>
      <c r="G816" s="6">
        <v>447868.64</v>
      </c>
      <c r="H816" s="6">
        <v>447868.64</v>
      </c>
    </row>
    <row r="817">
      <c r="B817" s="4" t="s">
        <v>245</v>
      </c>
      <c r="C817" s="4" t="s">
        <v>1857</v>
      </c>
      <c r="D817" s="4" t="s">
        <v>9</v>
      </c>
      <c r="E817" s="4" t="s">
        <v>10</v>
      </c>
      <c r="F817" s="5">
        <v>8.0</v>
      </c>
      <c r="G817" s="6">
        <v>40513.2</v>
      </c>
      <c r="H817" s="6">
        <v>324105.6</v>
      </c>
    </row>
    <row r="818">
      <c r="B818" s="4" t="s">
        <v>319</v>
      </c>
      <c r="C818" s="4" t="s">
        <v>1858</v>
      </c>
      <c r="D818" s="4" t="s">
        <v>9</v>
      </c>
      <c r="E818" s="4" t="s">
        <v>10</v>
      </c>
      <c r="F818" s="5">
        <v>4.0</v>
      </c>
      <c r="G818" s="6">
        <v>49862.4</v>
      </c>
      <c r="H818" s="6">
        <v>199449.6</v>
      </c>
    </row>
    <row r="819">
      <c r="B819" s="4" t="s">
        <v>250</v>
      </c>
      <c r="C819" s="4" t="s">
        <v>1859</v>
      </c>
      <c r="D819" s="4" t="s">
        <v>9</v>
      </c>
      <c r="E819" s="4" t="s">
        <v>10</v>
      </c>
      <c r="F819" s="5">
        <v>4.0</v>
      </c>
      <c r="G819" s="6">
        <v>75322.8</v>
      </c>
      <c r="H819" s="6">
        <v>301291.2</v>
      </c>
    </row>
    <row r="820">
      <c r="B820" s="4" t="s">
        <v>442</v>
      </c>
      <c r="C820" s="4" t="s">
        <v>1860</v>
      </c>
      <c r="D820" s="4" t="s">
        <v>9</v>
      </c>
      <c r="E820" s="4" t="s">
        <v>10</v>
      </c>
      <c r="F820" s="5">
        <v>4.0</v>
      </c>
      <c r="G820" s="6">
        <v>154320.0</v>
      </c>
      <c r="H820" s="6">
        <v>617280.0</v>
      </c>
    </row>
    <row r="821">
      <c r="B821" s="4" t="s">
        <v>359</v>
      </c>
      <c r="C821" s="4" t="s">
        <v>1861</v>
      </c>
      <c r="D821" s="4" t="s">
        <v>9</v>
      </c>
      <c r="E821" s="4" t="s">
        <v>10</v>
      </c>
      <c r="F821" s="5">
        <v>8.0</v>
      </c>
      <c r="G821" s="6">
        <v>23550.0</v>
      </c>
      <c r="H821" s="6">
        <v>188400.0</v>
      </c>
    </row>
    <row r="822">
      <c r="B822" s="4" t="s">
        <v>462</v>
      </c>
      <c r="C822" s="4" t="s">
        <v>1862</v>
      </c>
      <c r="D822" s="4" t="s">
        <v>9</v>
      </c>
      <c r="E822" s="4" t="s">
        <v>10</v>
      </c>
      <c r="F822" s="5">
        <v>4.0</v>
      </c>
      <c r="G822" s="6">
        <v>68090.4</v>
      </c>
      <c r="H822" s="6">
        <v>272361.6</v>
      </c>
    </row>
    <row r="823">
      <c r="B823" s="4" t="s">
        <v>254</v>
      </c>
      <c r="C823" s="4" t="s">
        <v>1863</v>
      </c>
      <c r="D823" s="4" t="s">
        <v>9</v>
      </c>
      <c r="E823" s="4" t="s">
        <v>10</v>
      </c>
      <c r="F823" s="5">
        <v>4.0</v>
      </c>
      <c r="G823" s="6">
        <v>69795.0</v>
      </c>
      <c r="H823" s="6">
        <v>279180.0</v>
      </c>
    </row>
    <row r="824">
      <c r="B824" s="4" t="s">
        <v>1864</v>
      </c>
      <c r="C824" s="4" t="s">
        <v>1865</v>
      </c>
      <c r="D824" s="4" t="s">
        <v>9</v>
      </c>
      <c r="E824" s="4" t="s">
        <v>10</v>
      </c>
      <c r="F824" s="5">
        <v>4.0</v>
      </c>
      <c r="G824" s="6">
        <v>248194.8</v>
      </c>
      <c r="H824" s="6">
        <v>992779.2</v>
      </c>
    </row>
    <row r="825">
      <c r="B825" s="4" t="s">
        <v>241</v>
      </c>
      <c r="C825" s="4" t="s">
        <v>1866</v>
      </c>
      <c r="D825" s="4" t="s">
        <v>9</v>
      </c>
      <c r="E825" s="4" t="s">
        <v>10</v>
      </c>
      <c r="F825" s="5">
        <v>1.0</v>
      </c>
      <c r="G825" s="6">
        <v>324300.0</v>
      </c>
      <c r="H825" s="6">
        <v>324300.0</v>
      </c>
    </row>
    <row r="826">
      <c r="B826" s="4" t="s">
        <v>1867</v>
      </c>
      <c r="C826" s="4" t="s">
        <v>1868</v>
      </c>
      <c r="D826" s="4" t="s">
        <v>9</v>
      </c>
      <c r="E826" s="4" t="s">
        <v>10</v>
      </c>
      <c r="F826" s="5">
        <v>2.0</v>
      </c>
      <c r="G826" s="6">
        <v>120782.0</v>
      </c>
      <c r="H826" s="6">
        <v>241564.0</v>
      </c>
    </row>
    <row r="827">
      <c r="B827" s="4" t="s">
        <v>248</v>
      </c>
      <c r="C827" s="4" t="s">
        <v>1869</v>
      </c>
      <c r="D827" s="4" t="s">
        <v>9</v>
      </c>
      <c r="E827" s="4" t="s">
        <v>10</v>
      </c>
      <c r="F827" s="5">
        <v>1.0</v>
      </c>
      <c r="G827" s="6">
        <v>319890.0</v>
      </c>
      <c r="H827" s="6">
        <v>319890.0</v>
      </c>
    </row>
    <row r="828">
      <c r="B828" s="4" t="s">
        <v>267</v>
      </c>
      <c r="C828" s="4" t="s">
        <v>1870</v>
      </c>
      <c r="D828" s="4" t="s">
        <v>9</v>
      </c>
      <c r="E828" s="4" t="s">
        <v>10</v>
      </c>
      <c r="F828" s="5">
        <v>4.0</v>
      </c>
      <c r="G828" s="6">
        <v>58167.5</v>
      </c>
      <c r="H828" s="6">
        <v>232670.0</v>
      </c>
    </row>
    <row r="829">
      <c r="B829" s="4" t="s">
        <v>1871</v>
      </c>
      <c r="C829" s="4" t="s">
        <v>1872</v>
      </c>
      <c r="D829" s="4" t="s">
        <v>9</v>
      </c>
      <c r="E829" s="4" t="s">
        <v>10</v>
      </c>
      <c r="F829" s="5">
        <v>1.0</v>
      </c>
      <c r="G829" s="6">
        <v>527137.0</v>
      </c>
      <c r="H829" s="6">
        <v>527137.0</v>
      </c>
    </row>
    <row r="830">
      <c r="B830" s="4" t="s">
        <v>339</v>
      </c>
      <c r="C830" s="4" t="s">
        <v>1873</v>
      </c>
      <c r="D830" s="4" t="s">
        <v>9</v>
      </c>
      <c r="E830" s="4" t="s">
        <v>10</v>
      </c>
      <c r="F830" s="5">
        <v>1.0</v>
      </c>
      <c r="G830" s="6">
        <v>193450.0</v>
      </c>
      <c r="H830" s="6">
        <v>193450.0</v>
      </c>
    </row>
    <row r="831">
      <c r="B831" s="4" t="s">
        <v>1874</v>
      </c>
      <c r="C831" s="4" t="s">
        <v>1875</v>
      </c>
      <c r="D831" s="4" t="s">
        <v>9</v>
      </c>
      <c r="E831" s="4" t="s">
        <v>10</v>
      </c>
      <c r="F831" s="5">
        <v>1.0</v>
      </c>
      <c r="G831" s="6">
        <v>2468460.0</v>
      </c>
      <c r="H831" s="6">
        <v>2468460.0</v>
      </c>
    </row>
    <row r="832">
      <c r="B832" s="4" t="s">
        <v>1876</v>
      </c>
      <c r="C832" s="4" t="s">
        <v>1877</v>
      </c>
      <c r="D832" s="4" t="s">
        <v>9</v>
      </c>
      <c r="E832" s="4" t="s">
        <v>23</v>
      </c>
      <c r="F832" s="5">
        <v>12.0</v>
      </c>
      <c r="G832" s="6">
        <v>69313.4</v>
      </c>
      <c r="H832" s="6">
        <v>831760.8</v>
      </c>
    </row>
    <row r="833">
      <c r="B833" s="4" t="s">
        <v>1878</v>
      </c>
      <c r="C833" s="4" t="s">
        <v>1879</v>
      </c>
      <c r="D833" s="4" t="s">
        <v>9</v>
      </c>
      <c r="E833" s="4" t="s">
        <v>23</v>
      </c>
      <c r="F833" s="5">
        <v>4.0</v>
      </c>
      <c r="G833" s="6">
        <v>49988.41</v>
      </c>
      <c r="H833" s="6">
        <v>199953.64</v>
      </c>
    </row>
    <row r="834">
      <c r="B834" s="4" t="s">
        <v>1880</v>
      </c>
      <c r="C834" s="4" t="s">
        <v>1881</v>
      </c>
      <c r="D834" s="4" t="s">
        <v>9</v>
      </c>
      <c r="E834" s="4" t="s">
        <v>23</v>
      </c>
      <c r="F834" s="5">
        <v>17.0</v>
      </c>
      <c r="G834" s="6">
        <v>14648.12</v>
      </c>
      <c r="H834" s="6">
        <v>249018.04</v>
      </c>
    </row>
    <row r="835">
      <c r="B835" s="4" t="s">
        <v>1882</v>
      </c>
      <c r="C835" s="4" t="s">
        <v>1883</v>
      </c>
      <c r="D835" s="4" t="s">
        <v>9</v>
      </c>
      <c r="E835" s="4" t="s">
        <v>23</v>
      </c>
      <c r="F835" s="5">
        <v>11.0</v>
      </c>
      <c r="G835" s="6">
        <v>69489.95</v>
      </c>
      <c r="H835" s="6">
        <v>764389.45</v>
      </c>
    </row>
    <row r="836">
      <c r="B836" s="4" t="s">
        <v>1884</v>
      </c>
      <c r="C836" s="4" t="s">
        <v>1885</v>
      </c>
      <c r="D836" s="4" t="s">
        <v>9</v>
      </c>
      <c r="E836" s="4" t="s">
        <v>23</v>
      </c>
      <c r="F836" s="5">
        <v>12.0</v>
      </c>
      <c r="G836" s="6">
        <v>29384.82</v>
      </c>
      <c r="H836" s="6">
        <v>352617.84</v>
      </c>
    </row>
    <row r="837">
      <c r="B837" s="4" t="s">
        <v>1886</v>
      </c>
      <c r="C837" s="4" t="s">
        <v>1887</v>
      </c>
      <c r="D837" s="4" t="s">
        <v>9</v>
      </c>
      <c r="E837" s="10"/>
      <c r="F837" s="5">
        <v>22.0</v>
      </c>
      <c r="G837" s="6">
        <v>37952.69</v>
      </c>
      <c r="H837" s="6">
        <v>834959.18</v>
      </c>
    </row>
    <row r="838">
      <c r="B838" s="4" t="s">
        <v>1888</v>
      </c>
      <c r="C838" s="4" t="s">
        <v>1889</v>
      </c>
      <c r="D838" s="4" t="s">
        <v>9</v>
      </c>
      <c r="E838" s="10"/>
      <c r="F838" s="5">
        <v>44.0</v>
      </c>
      <c r="G838" s="6">
        <v>7148.7</v>
      </c>
      <c r="H838" s="6">
        <v>314542.8</v>
      </c>
    </row>
    <row r="839">
      <c r="B839" s="4" t="s">
        <v>1890</v>
      </c>
      <c r="C839" s="4" t="s">
        <v>1891</v>
      </c>
      <c r="D839" s="4" t="s">
        <v>9</v>
      </c>
      <c r="E839" s="10"/>
      <c r="F839" s="5">
        <v>28.0</v>
      </c>
      <c r="G839" s="6">
        <v>8161.78</v>
      </c>
      <c r="H839" s="6">
        <v>228529.84</v>
      </c>
    </row>
    <row r="840">
      <c r="B840" s="4" t="s">
        <v>1892</v>
      </c>
      <c r="C840" s="4" t="s">
        <v>1893</v>
      </c>
      <c r="D840" s="4" t="s">
        <v>9</v>
      </c>
      <c r="E840" s="10"/>
      <c r="F840" s="5">
        <v>41.2</v>
      </c>
      <c r="G840" s="6">
        <v>5873.34</v>
      </c>
      <c r="H840" s="6">
        <v>241981.61</v>
      </c>
    </row>
    <row r="841">
      <c r="B841" s="4" t="s">
        <v>1036</v>
      </c>
      <c r="C841" s="4" t="s">
        <v>1894</v>
      </c>
      <c r="D841" s="4" t="s">
        <v>9</v>
      </c>
      <c r="E841" s="10"/>
      <c r="F841" s="5">
        <v>3.0</v>
      </c>
      <c r="G841" s="6">
        <v>203186.6</v>
      </c>
      <c r="H841" s="6">
        <v>609559.8</v>
      </c>
    </row>
    <row r="842">
      <c r="B842" s="4" t="s">
        <v>1093</v>
      </c>
      <c r="C842" s="4" t="s">
        <v>1895</v>
      </c>
      <c r="D842" s="4" t="s">
        <v>9</v>
      </c>
      <c r="E842" s="4" t="s">
        <v>23</v>
      </c>
      <c r="F842" s="5">
        <v>20.0</v>
      </c>
      <c r="G842" s="6">
        <v>15836.32</v>
      </c>
      <c r="H842" s="6">
        <v>316726.4</v>
      </c>
    </row>
    <row r="843">
      <c r="B843" s="4" t="s">
        <v>1896</v>
      </c>
      <c r="C843" s="4" t="s">
        <v>1897</v>
      </c>
      <c r="D843" s="4" t="s">
        <v>9</v>
      </c>
      <c r="E843" s="10"/>
      <c r="F843" s="5">
        <v>15.0</v>
      </c>
      <c r="G843" s="6">
        <v>19455.22</v>
      </c>
      <c r="H843" s="6">
        <v>291828.3</v>
      </c>
    </row>
    <row r="844">
      <c r="B844" s="4" t="s">
        <v>1898</v>
      </c>
      <c r="C844" s="4" t="s">
        <v>1899</v>
      </c>
      <c r="D844" s="4" t="s">
        <v>9</v>
      </c>
      <c r="E844" s="4" t="s">
        <v>173</v>
      </c>
      <c r="F844" s="5">
        <v>11.0</v>
      </c>
      <c r="G844" s="6">
        <v>17241.07</v>
      </c>
      <c r="H844" s="6">
        <v>189651.77</v>
      </c>
    </row>
    <row r="845">
      <c r="B845" s="4" t="s">
        <v>1900</v>
      </c>
      <c r="C845" s="4" t="s">
        <v>1901</v>
      </c>
      <c r="D845" s="4" t="s">
        <v>9</v>
      </c>
      <c r="E845" s="4" t="s">
        <v>23</v>
      </c>
      <c r="F845" s="5">
        <v>6.0</v>
      </c>
      <c r="G845" s="6">
        <v>36658.82</v>
      </c>
      <c r="H845" s="6">
        <v>219952.92</v>
      </c>
    </row>
    <row r="846">
      <c r="B846" s="4" t="s">
        <v>1902</v>
      </c>
      <c r="C846" s="4" t="s">
        <v>1903</v>
      </c>
      <c r="D846" s="4" t="s">
        <v>9</v>
      </c>
      <c r="E846" s="10"/>
      <c r="F846" s="5">
        <v>1.0</v>
      </c>
      <c r="G846" s="6">
        <v>665374.55</v>
      </c>
      <c r="H846" s="6">
        <v>665374.55</v>
      </c>
    </row>
    <row r="847">
      <c r="B847" s="4" t="s">
        <v>1904</v>
      </c>
      <c r="C847" s="4" t="s">
        <v>1905</v>
      </c>
      <c r="D847" s="4" t="s">
        <v>9</v>
      </c>
      <c r="E847" s="4" t="s">
        <v>23</v>
      </c>
      <c r="F847" s="5">
        <v>12.0</v>
      </c>
      <c r="G847" s="6">
        <v>44382.39</v>
      </c>
      <c r="H847" s="6">
        <v>532588.68</v>
      </c>
    </row>
    <row r="848">
      <c r="B848" s="4" t="s">
        <v>1906</v>
      </c>
      <c r="C848" s="4" t="s">
        <v>1907</v>
      </c>
      <c r="D848" s="4" t="s">
        <v>9</v>
      </c>
      <c r="E848" s="4" t="s">
        <v>23</v>
      </c>
      <c r="F848" s="5">
        <v>6.0</v>
      </c>
      <c r="G848" s="6">
        <v>35553.43</v>
      </c>
      <c r="H848" s="6">
        <v>213320.58</v>
      </c>
    </row>
    <row r="849">
      <c r="B849" s="4" t="s">
        <v>1908</v>
      </c>
      <c r="C849" s="4" t="s">
        <v>1909</v>
      </c>
      <c r="D849" s="4" t="s">
        <v>9</v>
      </c>
      <c r="E849" s="4" t="s">
        <v>23</v>
      </c>
      <c r="F849" s="5">
        <v>2.0</v>
      </c>
      <c r="G849" s="6">
        <v>109175.52</v>
      </c>
      <c r="H849" s="6">
        <v>218351.04</v>
      </c>
    </row>
    <row r="850">
      <c r="B850" s="4" t="s">
        <v>1910</v>
      </c>
      <c r="C850" s="4" t="s">
        <v>1911</v>
      </c>
      <c r="D850" s="4" t="s">
        <v>9</v>
      </c>
      <c r="E850" s="10"/>
      <c r="F850" s="5">
        <v>4.0</v>
      </c>
      <c r="G850" s="6">
        <v>197661.55</v>
      </c>
      <c r="H850" s="6">
        <v>790646.2</v>
      </c>
    </row>
    <row r="851">
      <c r="B851" s="4" t="s">
        <v>1912</v>
      </c>
      <c r="C851" s="4" t="s">
        <v>1913</v>
      </c>
      <c r="D851" s="4" t="s">
        <v>9</v>
      </c>
      <c r="E851" s="4" t="s">
        <v>23</v>
      </c>
      <c r="F851" s="5">
        <v>2.0</v>
      </c>
      <c r="G851" s="6">
        <v>97544.16</v>
      </c>
      <c r="H851" s="6">
        <v>195088.32</v>
      </c>
    </row>
    <row r="852">
      <c r="B852" s="4" t="s">
        <v>1914</v>
      </c>
      <c r="C852" s="4" t="s">
        <v>1915</v>
      </c>
      <c r="D852" s="4" t="s">
        <v>9</v>
      </c>
      <c r="E852" s="4" t="s">
        <v>23</v>
      </c>
      <c r="F852" s="5">
        <v>1.0</v>
      </c>
      <c r="G852" s="6">
        <v>396100.81</v>
      </c>
      <c r="H852" s="6">
        <v>396100.81</v>
      </c>
    </row>
    <row r="853">
      <c r="B853" s="4" t="s">
        <v>1916</v>
      </c>
      <c r="C853" s="4" t="s">
        <v>1917</v>
      </c>
      <c r="D853" s="4" t="s">
        <v>9</v>
      </c>
      <c r="E853" s="10"/>
      <c r="F853" s="5">
        <v>2.0</v>
      </c>
      <c r="G853" s="6">
        <v>201101.56</v>
      </c>
      <c r="H853" s="6">
        <v>402203.12</v>
      </c>
    </row>
    <row r="854">
      <c r="B854" s="4" t="s">
        <v>1163</v>
      </c>
      <c r="C854" s="4" t="s">
        <v>1918</v>
      </c>
      <c r="D854" s="4" t="s">
        <v>9</v>
      </c>
      <c r="E854" s="4" t="s">
        <v>23</v>
      </c>
      <c r="F854" s="5">
        <v>16.0</v>
      </c>
      <c r="G854" s="6">
        <v>21631.66</v>
      </c>
      <c r="H854" s="6">
        <v>346106.56</v>
      </c>
    </row>
    <row r="855">
      <c r="B855" s="4" t="s">
        <v>1919</v>
      </c>
      <c r="C855" s="4" t="s">
        <v>1920</v>
      </c>
      <c r="D855" s="4" t="s">
        <v>9</v>
      </c>
      <c r="E855" s="4" t="s">
        <v>23</v>
      </c>
      <c r="F855" s="5">
        <v>3.0</v>
      </c>
      <c r="G855" s="6">
        <v>116051.75</v>
      </c>
      <c r="H855" s="6">
        <v>348155.25</v>
      </c>
    </row>
    <row r="856">
      <c r="B856" s="4" t="s">
        <v>1921</v>
      </c>
      <c r="C856" s="4" t="s">
        <v>1922</v>
      </c>
      <c r="D856" s="4" t="s">
        <v>9</v>
      </c>
      <c r="E856" s="4" t="s">
        <v>23</v>
      </c>
      <c r="F856" s="5">
        <v>4.0</v>
      </c>
      <c r="G856" s="6">
        <v>154772.89</v>
      </c>
      <c r="H856" s="6">
        <v>619091.56</v>
      </c>
    </row>
    <row r="857">
      <c r="B857" s="4" t="s">
        <v>1923</v>
      </c>
      <c r="C857" s="4" t="s">
        <v>1924</v>
      </c>
      <c r="D857" s="4" t="s">
        <v>9</v>
      </c>
      <c r="E857" s="10"/>
      <c r="F857" s="5">
        <v>2.0</v>
      </c>
      <c r="G857" s="6">
        <v>123727.76</v>
      </c>
      <c r="H857" s="6">
        <v>247455.52</v>
      </c>
    </row>
    <row r="858">
      <c r="B858" s="4" t="s">
        <v>1925</v>
      </c>
      <c r="C858" s="4" t="s">
        <v>1926</v>
      </c>
      <c r="D858" s="4" t="s">
        <v>9</v>
      </c>
      <c r="E858" s="4" t="s">
        <v>23</v>
      </c>
      <c r="F858" s="5">
        <v>6.0</v>
      </c>
      <c r="G858" s="6">
        <v>82238.03</v>
      </c>
      <c r="H858" s="6">
        <v>493428.18</v>
      </c>
    </row>
    <row r="859">
      <c r="B859" s="4" t="s">
        <v>1927</v>
      </c>
      <c r="C859" s="4" t="s">
        <v>1928</v>
      </c>
      <c r="D859" s="4" t="s">
        <v>9</v>
      </c>
      <c r="E859" s="4" t="s">
        <v>173</v>
      </c>
      <c r="F859" s="5">
        <v>52.0</v>
      </c>
      <c r="G859" s="6">
        <v>3502.09</v>
      </c>
      <c r="H859" s="6">
        <v>182108.68</v>
      </c>
    </row>
    <row r="860">
      <c r="B860" s="4" t="s">
        <v>1929</v>
      </c>
      <c r="C860" s="4" t="s">
        <v>1930</v>
      </c>
      <c r="D860" s="4" t="s">
        <v>9</v>
      </c>
      <c r="E860" s="10"/>
      <c r="F860" s="5">
        <v>2.0</v>
      </c>
      <c r="G860" s="6">
        <v>105789.38</v>
      </c>
      <c r="H860" s="6">
        <v>211578.76</v>
      </c>
    </row>
    <row r="861">
      <c r="B861" s="4" t="s">
        <v>1931</v>
      </c>
      <c r="C861" s="4" t="s">
        <v>1932</v>
      </c>
      <c r="D861" s="4" t="s">
        <v>9</v>
      </c>
      <c r="E861" s="4" t="s">
        <v>23</v>
      </c>
      <c r="F861" s="5">
        <v>2.0</v>
      </c>
      <c r="G861" s="6">
        <v>308526.61</v>
      </c>
      <c r="H861" s="6">
        <v>617053.22</v>
      </c>
    </row>
    <row r="862">
      <c r="B862" s="4" t="s">
        <v>1933</v>
      </c>
      <c r="C862" s="4" t="s">
        <v>1934</v>
      </c>
      <c r="D862" s="4" t="s">
        <v>9</v>
      </c>
      <c r="E862" s="4" t="s">
        <v>23</v>
      </c>
      <c r="F862" s="5">
        <v>18.0</v>
      </c>
      <c r="G862" s="6">
        <v>25516.12</v>
      </c>
      <c r="H862" s="6">
        <v>459290.16</v>
      </c>
    </row>
    <row r="863">
      <c r="B863" s="4" t="s">
        <v>1935</v>
      </c>
      <c r="C863" s="4" t="s">
        <v>1936</v>
      </c>
      <c r="D863" s="4" t="s">
        <v>9</v>
      </c>
      <c r="E863" s="10"/>
      <c r="F863" s="5">
        <v>4.0</v>
      </c>
      <c r="G863" s="6">
        <v>48562.84</v>
      </c>
      <c r="H863" s="6">
        <v>194251.36</v>
      </c>
    </row>
    <row r="864">
      <c r="B864" s="4" t="s">
        <v>1937</v>
      </c>
      <c r="C864" s="4" t="s">
        <v>1938</v>
      </c>
      <c r="D864" s="4" t="s">
        <v>9</v>
      </c>
      <c r="E864" s="10"/>
      <c r="F864" s="5">
        <v>283.0</v>
      </c>
      <c r="G864" s="6">
        <v>2549.38</v>
      </c>
      <c r="H864" s="6">
        <v>721474.54</v>
      </c>
    </row>
    <row r="865">
      <c r="B865" s="4" t="s">
        <v>1939</v>
      </c>
      <c r="C865" s="4" t="s">
        <v>1940</v>
      </c>
      <c r="D865" s="4" t="s">
        <v>9</v>
      </c>
      <c r="E865" s="10"/>
      <c r="F865" s="5">
        <v>153.0</v>
      </c>
      <c r="G865" s="6">
        <v>14918.02</v>
      </c>
      <c r="H865" s="6">
        <v>2282457.06</v>
      </c>
    </row>
    <row r="866">
      <c r="B866" s="4" t="s">
        <v>1941</v>
      </c>
      <c r="C866" s="4" t="s">
        <v>1942</v>
      </c>
      <c r="D866" s="4" t="s">
        <v>9</v>
      </c>
      <c r="E866" s="4" t="s">
        <v>173</v>
      </c>
      <c r="F866" s="5">
        <v>2.0</v>
      </c>
      <c r="G866" s="6">
        <v>238021.37</v>
      </c>
      <c r="H866" s="6">
        <v>476042.74</v>
      </c>
    </row>
    <row r="867">
      <c r="B867" s="4" t="s">
        <v>1943</v>
      </c>
      <c r="C867" s="4" t="s">
        <v>1944</v>
      </c>
      <c r="D867" s="4" t="s">
        <v>9</v>
      </c>
      <c r="E867" s="4" t="s">
        <v>173</v>
      </c>
      <c r="F867" s="5">
        <v>4.0</v>
      </c>
      <c r="G867" s="6">
        <v>310061.16</v>
      </c>
      <c r="H867" s="6">
        <v>1240244.64</v>
      </c>
    </row>
    <row r="868">
      <c r="B868" s="4" t="s">
        <v>1945</v>
      </c>
      <c r="C868" s="4" t="s">
        <v>1946</v>
      </c>
      <c r="D868" s="4" t="s">
        <v>9</v>
      </c>
      <c r="E868" s="4" t="s">
        <v>23</v>
      </c>
      <c r="F868" s="5">
        <v>2.0</v>
      </c>
      <c r="G868" s="6">
        <v>137259.63</v>
      </c>
      <c r="H868" s="6">
        <v>274519.26</v>
      </c>
    </row>
    <row r="869">
      <c r="B869" s="4" t="s">
        <v>1947</v>
      </c>
      <c r="C869" s="4" t="s">
        <v>1948</v>
      </c>
      <c r="D869" s="4" t="s">
        <v>9</v>
      </c>
      <c r="E869" s="4" t="s">
        <v>23</v>
      </c>
      <c r="F869" s="5">
        <v>2.0</v>
      </c>
      <c r="G869" s="6">
        <v>101781.91</v>
      </c>
      <c r="H869" s="6">
        <v>203563.82</v>
      </c>
    </row>
    <row r="870">
      <c r="B870" s="4" t="s">
        <v>1949</v>
      </c>
      <c r="C870" s="4" t="s">
        <v>1950</v>
      </c>
      <c r="D870" s="4" t="s">
        <v>9</v>
      </c>
      <c r="E870" s="4" t="s">
        <v>23</v>
      </c>
      <c r="F870" s="5">
        <v>1.0</v>
      </c>
      <c r="G870" s="6">
        <v>179525.99</v>
      </c>
      <c r="H870" s="6">
        <v>179525.99</v>
      </c>
    </row>
    <row r="871">
      <c r="B871" s="4" t="s">
        <v>1951</v>
      </c>
      <c r="C871" s="4" t="s">
        <v>1952</v>
      </c>
      <c r="D871" s="4" t="s">
        <v>9</v>
      </c>
      <c r="E871" s="4" t="s">
        <v>23</v>
      </c>
      <c r="F871" s="5">
        <v>1.0</v>
      </c>
      <c r="G871" s="6">
        <v>179527.26</v>
      </c>
      <c r="H871" s="6">
        <v>179527.26</v>
      </c>
    </row>
    <row r="872">
      <c r="B872" s="4" t="s">
        <v>1953</v>
      </c>
      <c r="C872" s="4" t="s">
        <v>1954</v>
      </c>
      <c r="D872" s="4" t="s">
        <v>9</v>
      </c>
      <c r="E872" s="4" t="s">
        <v>23</v>
      </c>
      <c r="F872" s="5">
        <v>3.0</v>
      </c>
      <c r="G872" s="6">
        <v>425733.19</v>
      </c>
      <c r="H872" s="6">
        <v>1277199.57</v>
      </c>
    </row>
    <row r="873">
      <c r="B873" s="4" t="s">
        <v>1955</v>
      </c>
      <c r="C873" s="4" t="s">
        <v>1956</v>
      </c>
      <c r="D873" s="4" t="s">
        <v>9</v>
      </c>
      <c r="E873" s="4" t="s">
        <v>23</v>
      </c>
      <c r="F873" s="5">
        <v>13.0</v>
      </c>
      <c r="G873" s="6">
        <v>38952.03</v>
      </c>
      <c r="H873" s="6">
        <v>506376.39</v>
      </c>
    </row>
    <row r="874">
      <c r="B874" s="4" t="s">
        <v>1957</v>
      </c>
      <c r="C874" s="4" t="s">
        <v>1958</v>
      </c>
      <c r="D874" s="4" t="s">
        <v>9</v>
      </c>
      <c r="E874" s="4" t="s">
        <v>23</v>
      </c>
      <c r="F874" s="5">
        <v>7.0</v>
      </c>
      <c r="G874" s="6">
        <v>35561.47</v>
      </c>
      <c r="H874" s="6">
        <v>248930.29</v>
      </c>
    </row>
    <row r="875">
      <c r="B875" s="4" t="s">
        <v>1077</v>
      </c>
      <c r="C875" s="4" t="s">
        <v>1959</v>
      </c>
      <c r="D875" s="4" t="s">
        <v>9</v>
      </c>
      <c r="E875" s="10"/>
      <c r="F875" s="5">
        <v>19.0</v>
      </c>
      <c r="G875" s="6">
        <v>17814.9</v>
      </c>
      <c r="H875" s="6">
        <v>338483.1</v>
      </c>
    </row>
    <row r="876">
      <c r="B876" s="4" t="s">
        <v>1960</v>
      </c>
      <c r="C876" s="4" t="s">
        <v>1961</v>
      </c>
      <c r="D876" s="4" t="s">
        <v>9</v>
      </c>
      <c r="E876" s="4" t="s">
        <v>23</v>
      </c>
      <c r="F876" s="5">
        <v>4.0</v>
      </c>
      <c r="G876" s="6">
        <v>167775.01</v>
      </c>
      <c r="H876" s="6">
        <v>671100.04</v>
      </c>
    </row>
    <row r="877">
      <c r="B877" s="4" t="s">
        <v>1962</v>
      </c>
      <c r="C877" s="4" t="s">
        <v>1963</v>
      </c>
      <c r="D877" s="4" t="s">
        <v>9</v>
      </c>
      <c r="E877" s="4" t="s">
        <v>173</v>
      </c>
      <c r="F877" s="5">
        <v>3.0</v>
      </c>
      <c r="G877" s="6">
        <v>222335.29</v>
      </c>
      <c r="H877" s="6">
        <v>667005.87</v>
      </c>
    </row>
    <row r="878">
      <c r="B878" s="4" t="s">
        <v>1964</v>
      </c>
      <c r="C878" s="4" t="s">
        <v>1965</v>
      </c>
      <c r="D878" s="4" t="s">
        <v>9</v>
      </c>
      <c r="E878" s="4" t="s">
        <v>23</v>
      </c>
      <c r="F878" s="5">
        <v>1.0</v>
      </c>
      <c r="G878" s="6">
        <v>548946.11</v>
      </c>
      <c r="H878" s="6">
        <v>548946.11</v>
      </c>
    </row>
    <row r="879">
      <c r="B879" s="4" t="s">
        <v>1966</v>
      </c>
      <c r="C879" s="4" t="s">
        <v>1967</v>
      </c>
      <c r="D879" s="4" t="s">
        <v>9</v>
      </c>
      <c r="E879" s="10"/>
      <c r="F879" s="5">
        <v>31.0</v>
      </c>
      <c r="G879" s="6">
        <v>9802.04</v>
      </c>
      <c r="H879" s="6">
        <v>303863.24</v>
      </c>
    </row>
    <row r="880">
      <c r="B880" s="4" t="s">
        <v>1968</v>
      </c>
      <c r="C880" s="4" t="s">
        <v>1969</v>
      </c>
      <c r="D880" s="4" t="s">
        <v>9</v>
      </c>
      <c r="E880" s="4" t="s">
        <v>23</v>
      </c>
      <c r="F880" s="5">
        <v>3.0</v>
      </c>
      <c r="G880" s="6">
        <v>191635.12</v>
      </c>
      <c r="H880" s="6">
        <v>574905.36</v>
      </c>
    </row>
    <row r="881">
      <c r="B881" s="4" t="s">
        <v>1970</v>
      </c>
      <c r="C881" s="4" t="s">
        <v>1971</v>
      </c>
      <c r="D881" s="4" t="s">
        <v>9</v>
      </c>
      <c r="E881" s="4" t="s">
        <v>23</v>
      </c>
      <c r="F881" s="5">
        <v>3.0</v>
      </c>
      <c r="G881" s="6">
        <v>92565.55</v>
      </c>
      <c r="H881" s="6">
        <v>277696.65</v>
      </c>
    </row>
    <row r="882">
      <c r="B882" s="4" t="s">
        <v>1972</v>
      </c>
      <c r="C882" s="4" t="s">
        <v>1973</v>
      </c>
      <c r="D882" s="4" t="s">
        <v>9</v>
      </c>
      <c r="E882" s="4" t="s">
        <v>23</v>
      </c>
      <c r="F882" s="5">
        <v>4.0</v>
      </c>
      <c r="G882" s="6">
        <v>64349.03</v>
      </c>
      <c r="H882" s="6">
        <v>257396.12</v>
      </c>
    </row>
    <row r="883">
      <c r="B883" s="4" t="s">
        <v>1974</v>
      </c>
      <c r="C883" s="4" t="s">
        <v>1975</v>
      </c>
      <c r="D883" s="4" t="s">
        <v>9</v>
      </c>
      <c r="E883" s="4" t="s">
        <v>23</v>
      </c>
      <c r="F883" s="5">
        <v>123.0</v>
      </c>
      <c r="G883" s="6">
        <v>4933.39</v>
      </c>
      <c r="H883" s="6">
        <v>606806.97</v>
      </c>
    </row>
    <row r="884">
      <c r="B884" s="4" t="s">
        <v>1976</v>
      </c>
      <c r="C884" s="4" t="s">
        <v>1977</v>
      </c>
      <c r="D884" s="4" t="s">
        <v>9</v>
      </c>
      <c r="E884" s="10"/>
      <c r="F884" s="5">
        <v>1.0</v>
      </c>
      <c r="G884" s="6">
        <v>270826.25</v>
      </c>
      <c r="H884" s="6">
        <v>270826.25</v>
      </c>
    </row>
    <row r="885">
      <c r="B885" s="4" t="s">
        <v>1978</v>
      </c>
      <c r="C885" s="4" t="s">
        <v>1979</v>
      </c>
      <c r="D885" s="4" t="s">
        <v>9</v>
      </c>
      <c r="E885" s="10"/>
      <c r="F885" s="5">
        <v>774.0</v>
      </c>
      <c r="G885" s="5">
        <v>802.24</v>
      </c>
      <c r="H885" s="6">
        <v>620933.76</v>
      </c>
    </row>
    <row r="886">
      <c r="B886" s="4" t="s">
        <v>1980</v>
      </c>
      <c r="C886" s="4" t="s">
        <v>1981</v>
      </c>
      <c r="D886" s="4" t="s">
        <v>9</v>
      </c>
      <c r="E886" s="10"/>
      <c r="F886" s="5">
        <v>399.0</v>
      </c>
      <c r="G886" s="5">
        <v>761.34</v>
      </c>
      <c r="H886" s="6">
        <v>303774.66</v>
      </c>
    </row>
    <row r="887">
      <c r="B887" s="4" t="s">
        <v>1982</v>
      </c>
      <c r="C887" s="4" t="s">
        <v>1983</v>
      </c>
      <c r="D887" s="4" t="s">
        <v>9</v>
      </c>
      <c r="E887" s="4" t="s">
        <v>23</v>
      </c>
      <c r="F887" s="5">
        <v>9.0</v>
      </c>
      <c r="G887" s="6">
        <v>66257.87</v>
      </c>
      <c r="H887" s="6">
        <v>596320.83</v>
      </c>
    </row>
    <row r="888">
      <c r="B888" s="4" t="s">
        <v>1984</v>
      </c>
      <c r="C888" s="4" t="s">
        <v>1985</v>
      </c>
      <c r="D888" s="4" t="s">
        <v>9</v>
      </c>
      <c r="E888" s="4" t="s">
        <v>23</v>
      </c>
      <c r="F888" s="5">
        <v>27.0</v>
      </c>
      <c r="G888" s="6">
        <v>8585.99</v>
      </c>
      <c r="H888" s="6">
        <v>231821.73</v>
      </c>
    </row>
    <row r="889">
      <c r="B889" s="4" t="s">
        <v>1986</v>
      </c>
      <c r="C889" s="4" t="s">
        <v>1987</v>
      </c>
      <c r="D889" s="4" t="s">
        <v>9</v>
      </c>
      <c r="E889" s="10"/>
      <c r="F889" s="5">
        <v>14.0</v>
      </c>
      <c r="G889" s="6">
        <v>26147.13</v>
      </c>
      <c r="H889" s="6">
        <v>366059.82</v>
      </c>
    </row>
    <row r="890">
      <c r="B890" s="4" t="s">
        <v>1988</v>
      </c>
      <c r="C890" s="4" t="s">
        <v>1989</v>
      </c>
      <c r="D890" s="4" t="s">
        <v>9</v>
      </c>
      <c r="E890" s="4" t="s">
        <v>23</v>
      </c>
      <c r="F890" s="5">
        <v>4.0</v>
      </c>
      <c r="G890" s="6">
        <v>81422.94</v>
      </c>
      <c r="H890" s="6">
        <v>325691.76</v>
      </c>
    </row>
    <row r="891">
      <c r="B891" s="4" t="s">
        <v>1990</v>
      </c>
      <c r="C891" s="4" t="s">
        <v>1991</v>
      </c>
      <c r="D891" s="4" t="s">
        <v>9</v>
      </c>
      <c r="E891" s="4" t="s">
        <v>23</v>
      </c>
      <c r="F891" s="5">
        <v>2.0</v>
      </c>
      <c r="G891" s="6">
        <v>306781.99</v>
      </c>
      <c r="H891" s="6">
        <v>613563.98</v>
      </c>
    </row>
    <row r="892">
      <c r="B892" s="4" t="s">
        <v>1992</v>
      </c>
      <c r="C892" s="4" t="s">
        <v>1993</v>
      </c>
      <c r="D892" s="4" t="s">
        <v>9</v>
      </c>
      <c r="E892" s="10"/>
      <c r="F892" s="5">
        <v>7.0</v>
      </c>
      <c r="G892" s="6">
        <v>30924.71</v>
      </c>
      <c r="H892" s="6">
        <v>216472.97</v>
      </c>
    </row>
    <row r="893">
      <c r="B893" s="4" t="s">
        <v>1008</v>
      </c>
      <c r="C893" s="4" t="s">
        <v>1994</v>
      </c>
      <c r="D893" s="4" t="s">
        <v>9</v>
      </c>
      <c r="E893" s="4" t="s">
        <v>23</v>
      </c>
      <c r="F893" s="5">
        <v>12.0</v>
      </c>
      <c r="G893" s="6">
        <v>92172.54</v>
      </c>
      <c r="H893" s="6">
        <v>1106070.48</v>
      </c>
    </row>
    <row r="894">
      <c r="B894" s="4" t="s">
        <v>1995</v>
      </c>
      <c r="C894" s="4" t="s">
        <v>1996</v>
      </c>
      <c r="D894" s="4" t="s">
        <v>9</v>
      </c>
      <c r="E894" s="4" t="s">
        <v>23</v>
      </c>
      <c r="F894" s="5">
        <v>2.0</v>
      </c>
      <c r="G894" s="6">
        <v>139669.5</v>
      </c>
      <c r="H894" s="6">
        <v>279339.0</v>
      </c>
    </row>
    <row r="895">
      <c r="B895" s="4" t="s">
        <v>1997</v>
      </c>
      <c r="C895" s="4" t="s">
        <v>1998</v>
      </c>
      <c r="D895" s="4" t="s">
        <v>9</v>
      </c>
      <c r="E895" s="4" t="s">
        <v>23</v>
      </c>
      <c r="F895" s="5">
        <v>24.0</v>
      </c>
      <c r="G895" s="6">
        <v>47184.03</v>
      </c>
      <c r="H895" s="6">
        <v>1132416.72</v>
      </c>
    </row>
    <row r="896">
      <c r="B896" s="4" t="s">
        <v>1999</v>
      </c>
      <c r="C896" s="4" t="s">
        <v>2000</v>
      </c>
      <c r="D896" s="4" t="s">
        <v>9</v>
      </c>
      <c r="E896" s="4" t="s">
        <v>23</v>
      </c>
      <c r="F896" s="5">
        <v>1.0</v>
      </c>
      <c r="G896" s="6">
        <v>201762.8</v>
      </c>
      <c r="H896" s="6">
        <v>201762.8</v>
      </c>
    </row>
    <row r="897">
      <c r="B897" s="4" t="s">
        <v>1165</v>
      </c>
      <c r="C897" s="4" t="s">
        <v>2001</v>
      </c>
      <c r="D897" s="4" t="s">
        <v>9</v>
      </c>
      <c r="E897" s="4" t="s">
        <v>23</v>
      </c>
      <c r="F897" s="5">
        <v>4.0</v>
      </c>
      <c r="G897" s="6">
        <v>75194.07</v>
      </c>
      <c r="H897" s="6">
        <v>300776.28</v>
      </c>
    </row>
    <row r="898">
      <c r="B898" s="4" t="s">
        <v>2002</v>
      </c>
      <c r="C898" s="4" t="s">
        <v>2003</v>
      </c>
      <c r="D898" s="4" t="s">
        <v>9</v>
      </c>
      <c r="E898" s="4" t="s">
        <v>23</v>
      </c>
      <c r="F898" s="5">
        <v>6.0</v>
      </c>
      <c r="G898" s="6">
        <v>76354.95</v>
      </c>
      <c r="H898" s="6">
        <v>458129.7</v>
      </c>
    </row>
    <row r="899">
      <c r="B899" s="4" t="s">
        <v>2004</v>
      </c>
      <c r="C899" s="4" t="s">
        <v>2005</v>
      </c>
      <c r="D899" s="4" t="s">
        <v>9</v>
      </c>
      <c r="E899" s="4" t="s">
        <v>23</v>
      </c>
      <c r="F899" s="5">
        <v>16.0</v>
      </c>
      <c r="G899" s="6">
        <v>49083.13</v>
      </c>
      <c r="H899" s="6">
        <v>785330.08</v>
      </c>
    </row>
    <row r="900">
      <c r="B900" s="4" t="s">
        <v>2006</v>
      </c>
      <c r="C900" s="4" t="s">
        <v>2007</v>
      </c>
      <c r="D900" s="4" t="s">
        <v>9</v>
      </c>
      <c r="E900" s="4" t="s">
        <v>23</v>
      </c>
      <c r="F900" s="5">
        <v>1.0</v>
      </c>
      <c r="G900" s="6">
        <v>199992.86</v>
      </c>
      <c r="H900" s="6">
        <v>199992.86</v>
      </c>
    </row>
    <row r="901">
      <c r="B901" s="4" t="s">
        <v>2008</v>
      </c>
      <c r="C901" s="4" t="s">
        <v>2009</v>
      </c>
      <c r="D901" s="4" t="s">
        <v>9</v>
      </c>
      <c r="E901" s="10"/>
      <c r="F901" s="5">
        <v>14.0</v>
      </c>
      <c r="G901" s="6">
        <v>16529.37</v>
      </c>
      <c r="H901" s="6">
        <v>231411.18</v>
      </c>
    </row>
    <row r="902">
      <c r="B902" s="4" t="s">
        <v>2010</v>
      </c>
      <c r="C902" s="4" t="s">
        <v>2011</v>
      </c>
      <c r="D902" s="4" t="s">
        <v>9</v>
      </c>
      <c r="E902" s="4" t="s">
        <v>23</v>
      </c>
      <c r="F902" s="5">
        <v>5.0</v>
      </c>
      <c r="G902" s="6">
        <v>127935.96</v>
      </c>
      <c r="H902" s="6">
        <v>639679.8</v>
      </c>
    </row>
    <row r="903">
      <c r="B903" s="4" t="s">
        <v>2012</v>
      </c>
      <c r="C903" s="4" t="s">
        <v>2013</v>
      </c>
      <c r="D903" s="4" t="s">
        <v>9</v>
      </c>
      <c r="E903" s="4" t="s">
        <v>23</v>
      </c>
      <c r="F903" s="5">
        <v>1.0</v>
      </c>
      <c r="G903" s="6">
        <v>558714.44</v>
      </c>
      <c r="H903" s="6">
        <v>558714.44</v>
      </c>
    </row>
    <row r="904">
      <c r="B904" s="4" t="s">
        <v>2014</v>
      </c>
      <c r="C904" s="4" t="s">
        <v>2015</v>
      </c>
      <c r="D904" s="4" t="s">
        <v>9</v>
      </c>
      <c r="E904" s="4" t="s">
        <v>23</v>
      </c>
      <c r="F904" s="5">
        <v>5.0</v>
      </c>
      <c r="G904" s="6">
        <v>41581.26</v>
      </c>
      <c r="H904" s="6">
        <v>207906.3</v>
      </c>
    </row>
    <row r="905">
      <c r="B905" s="4" t="s">
        <v>2016</v>
      </c>
      <c r="C905" s="4" t="s">
        <v>2017</v>
      </c>
      <c r="D905" s="4" t="s">
        <v>9</v>
      </c>
      <c r="E905" s="4" t="s">
        <v>23</v>
      </c>
      <c r="F905" s="5">
        <v>9.0</v>
      </c>
      <c r="G905" s="6">
        <v>34091.87</v>
      </c>
      <c r="H905" s="6">
        <v>306826.83</v>
      </c>
    </row>
    <row r="906">
      <c r="B906" s="4" t="s">
        <v>2018</v>
      </c>
      <c r="C906" s="4" t="s">
        <v>2019</v>
      </c>
      <c r="D906" s="4" t="s">
        <v>9</v>
      </c>
      <c r="E906" s="4" t="s">
        <v>23</v>
      </c>
      <c r="F906" s="5">
        <v>3.0</v>
      </c>
      <c r="G906" s="6">
        <v>139338.23</v>
      </c>
      <c r="H906" s="6">
        <v>418014.69</v>
      </c>
    </row>
    <row r="907">
      <c r="B907" s="4" t="s">
        <v>2020</v>
      </c>
      <c r="C907" s="4" t="s">
        <v>2021</v>
      </c>
      <c r="D907" s="4" t="s">
        <v>9</v>
      </c>
      <c r="E907" s="4" t="s">
        <v>23</v>
      </c>
      <c r="F907" s="5">
        <v>3.0</v>
      </c>
      <c r="G907" s="6">
        <v>69769.49</v>
      </c>
      <c r="H907" s="6">
        <v>209308.47</v>
      </c>
    </row>
    <row r="908">
      <c r="B908" s="4" t="s">
        <v>2022</v>
      </c>
      <c r="C908" s="4" t="s">
        <v>2023</v>
      </c>
      <c r="D908" s="4" t="s">
        <v>9</v>
      </c>
      <c r="E908" s="4" t="s">
        <v>23</v>
      </c>
      <c r="F908" s="5">
        <v>5.0</v>
      </c>
      <c r="G908" s="6">
        <v>123775.37</v>
      </c>
      <c r="H908" s="6">
        <v>618876.85</v>
      </c>
    </row>
    <row r="909">
      <c r="B909" s="4" t="s">
        <v>2024</v>
      </c>
      <c r="C909" s="4" t="s">
        <v>2025</v>
      </c>
      <c r="D909" s="4" t="s">
        <v>9</v>
      </c>
      <c r="E909" s="4" t="s">
        <v>23</v>
      </c>
      <c r="F909" s="5">
        <v>805.0</v>
      </c>
      <c r="G909" s="5">
        <v>513.35</v>
      </c>
      <c r="H909" s="6">
        <v>413246.75</v>
      </c>
    </row>
    <row r="910">
      <c r="B910" s="4" t="s">
        <v>1133</v>
      </c>
      <c r="C910" s="4" t="s">
        <v>2026</v>
      </c>
      <c r="D910" s="4" t="s">
        <v>9</v>
      </c>
      <c r="E910" s="4" t="s">
        <v>23</v>
      </c>
      <c r="F910" s="5">
        <v>8.0</v>
      </c>
      <c r="G910" s="6">
        <v>32508.58</v>
      </c>
      <c r="H910" s="6">
        <v>260068.64</v>
      </c>
    </row>
    <row r="911">
      <c r="B911" s="4" t="s">
        <v>2027</v>
      </c>
      <c r="C911" s="4" t="s">
        <v>2028</v>
      </c>
      <c r="D911" s="4" t="s">
        <v>9</v>
      </c>
      <c r="E911" s="4" t="s">
        <v>23</v>
      </c>
      <c r="F911" s="5">
        <v>6.0</v>
      </c>
      <c r="G911" s="6">
        <v>83801.09</v>
      </c>
      <c r="H911" s="6">
        <v>502806.54</v>
      </c>
    </row>
    <row r="912">
      <c r="B912" s="4" t="s">
        <v>2029</v>
      </c>
      <c r="C912" s="4" t="s">
        <v>2030</v>
      </c>
      <c r="D912" s="4" t="s">
        <v>9</v>
      </c>
      <c r="E912" s="4" t="s">
        <v>173</v>
      </c>
      <c r="F912" s="5">
        <v>6.0</v>
      </c>
      <c r="G912" s="6">
        <v>212177.76</v>
      </c>
      <c r="H912" s="6">
        <v>1273066.56</v>
      </c>
    </row>
    <row r="913">
      <c r="B913" s="4" t="s">
        <v>2031</v>
      </c>
      <c r="C913" s="4" t="s">
        <v>2032</v>
      </c>
      <c r="D913" s="4" t="s">
        <v>9</v>
      </c>
      <c r="E913" s="4" t="s">
        <v>23</v>
      </c>
      <c r="F913" s="5">
        <v>1.0</v>
      </c>
      <c r="G913" s="6">
        <v>327916.4</v>
      </c>
      <c r="H913" s="6">
        <v>327916.4</v>
      </c>
    </row>
    <row r="914">
      <c r="B914" s="4" t="s">
        <v>2033</v>
      </c>
      <c r="C914" s="4" t="s">
        <v>2034</v>
      </c>
      <c r="D914" s="4" t="s">
        <v>9</v>
      </c>
      <c r="E914" s="4" t="s">
        <v>173</v>
      </c>
      <c r="F914" s="5">
        <v>53.0</v>
      </c>
      <c r="G914" s="6">
        <v>4407.65</v>
      </c>
      <c r="H914" s="6">
        <v>233605.45</v>
      </c>
    </row>
    <row r="915">
      <c r="B915" s="4" t="s">
        <v>2035</v>
      </c>
      <c r="C915" s="4" t="s">
        <v>2036</v>
      </c>
      <c r="D915" s="4" t="s">
        <v>9</v>
      </c>
      <c r="E915" s="4" t="s">
        <v>173</v>
      </c>
      <c r="F915" s="5">
        <v>12.0</v>
      </c>
      <c r="G915" s="6">
        <v>15905.83</v>
      </c>
      <c r="H915" s="6">
        <v>190869.96</v>
      </c>
    </row>
    <row r="916">
      <c r="B916" s="4" t="s">
        <v>2037</v>
      </c>
      <c r="C916" s="4" t="s">
        <v>2038</v>
      </c>
      <c r="D916" s="4" t="s">
        <v>9</v>
      </c>
      <c r="E916" s="4" t="s">
        <v>23</v>
      </c>
      <c r="F916" s="5">
        <v>4.0</v>
      </c>
      <c r="G916" s="6">
        <v>100734.42</v>
      </c>
      <c r="H916" s="6">
        <v>402937.68</v>
      </c>
    </row>
    <row r="917">
      <c r="B917" s="4" t="s">
        <v>2039</v>
      </c>
      <c r="C917" s="4" t="s">
        <v>2040</v>
      </c>
      <c r="D917" s="4" t="s">
        <v>9</v>
      </c>
      <c r="E917" s="10"/>
      <c r="F917" s="5">
        <v>7.0</v>
      </c>
      <c r="G917" s="6">
        <v>30464.86</v>
      </c>
      <c r="H917" s="6">
        <v>213254.02</v>
      </c>
    </row>
    <row r="918">
      <c r="B918" s="4" t="s">
        <v>2041</v>
      </c>
      <c r="C918" s="4" t="s">
        <v>2042</v>
      </c>
      <c r="D918" s="4" t="s">
        <v>9</v>
      </c>
      <c r="E918" s="10"/>
      <c r="F918" s="5">
        <v>8.0</v>
      </c>
      <c r="G918" s="6">
        <v>51265.89</v>
      </c>
      <c r="H918" s="6">
        <v>410127.12</v>
      </c>
    </row>
    <row r="919">
      <c r="B919" s="4" t="s">
        <v>2043</v>
      </c>
      <c r="C919" s="4" t="s">
        <v>2044</v>
      </c>
      <c r="D919" s="4" t="s">
        <v>9</v>
      </c>
      <c r="E919" s="4" t="s">
        <v>23</v>
      </c>
      <c r="F919" s="5">
        <v>26.0</v>
      </c>
      <c r="G919" s="6">
        <v>8038.63</v>
      </c>
      <c r="H919" s="6">
        <v>209004.38</v>
      </c>
    </row>
    <row r="920">
      <c r="B920" s="4" t="s">
        <v>2045</v>
      </c>
      <c r="C920" s="4" t="s">
        <v>2046</v>
      </c>
      <c r="D920" s="4" t="s">
        <v>9</v>
      </c>
      <c r="E920" s="4" t="s">
        <v>23</v>
      </c>
      <c r="F920" s="5">
        <v>5.0</v>
      </c>
      <c r="G920" s="6">
        <v>67116.94</v>
      </c>
      <c r="H920" s="6">
        <v>335584.7</v>
      </c>
    </row>
    <row r="921">
      <c r="B921" s="4" t="s">
        <v>2047</v>
      </c>
      <c r="C921" s="4" t="s">
        <v>2048</v>
      </c>
      <c r="D921" s="4" t="s">
        <v>9</v>
      </c>
      <c r="E921" s="4" t="s">
        <v>173</v>
      </c>
      <c r="F921" s="5">
        <v>6.0</v>
      </c>
      <c r="G921" s="6">
        <v>513270.37</v>
      </c>
      <c r="H921" s="6">
        <v>3079622.22</v>
      </c>
    </row>
    <row r="922">
      <c r="B922" s="19" t="s">
        <v>2049</v>
      </c>
      <c r="C922" s="4" t="s">
        <v>2050</v>
      </c>
      <c r="D922" s="4" t="s">
        <v>9</v>
      </c>
      <c r="E922" s="4" t="s">
        <v>23</v>
      </c>
      <c r="F922" s="5">
        <v>44.0</v>
      </c>
      <c r="G922" s="6">
        <v>10545.83</v>
      </c>
      <c r="H922" s="6">
        <v>464016.52</v>
      </c>
    </row>
    <row r="923">
      <c r="B923" s="4" t="s">
        <v>2051</v>
      </c>
      <c r="C923" s="4" t="s">
        <v>2052</v>
      </c>
      <c r="D923" s="4" t="s">
        <v>9</v>
      </c>
      <c r="E923" s="4" t="s">
        <v>23</v>
      </c>
      <c r="F923" s="5">
        <v>2.0</v>
      </c>
      <c r="G923" s="6">
        <v>615529.09</v>
      </c>
      <c r="H923" s="6">
        <v>1231058.18</v>
      </c>
    </row>
    <row r="924">
      <c r="B924" s="4" t="s">
        <v>2053</v>
      </c>
      <c r="C924" s="4" t="s">
        <v>2054</v>
      </c>
      <c r="D924" s="4" t="s">
        <v>9</v>
      </c>
      <c r="E924" s="4" t="s">
        <v>23</v>
      </c>
      <c r="F924" s="5">
        <v>90.0</v>
      </c>
      <c r="G924" s="6">
        <v>2658.47</v>
      </c>
      <c r="H924" s="6">
        <v>239262.3</v>
      </c>
    </row>
    <row r="925">
      <c r="B925" s="4" t="s">
        <v>2055</v>
      </c>
      <c r="C925" s="4" t="s">
        <v>2056</v>
      </c>
      <c r="D925" s="4" t="s">
        <v>9</v>
      </c>
      <c r="E925" s="4" t="s">
        <v>23</v>
      </c>
      <c r="F925" s="5">
        <v>72.0</v>
      </c>
      <c r="G925" s="6">
        <v>4383.77</v>
      </c>
      <c r="H925" s="6">
        <v>315631.44</v>
      </c>
    </row>
    <row r="926">
      <c r="B926" s="4" t="s">
        <v>2057</v>
      </c>
      <c r="C926" s="4" t="s">
        <v>2058</v>
      </c>
      <c r="D926" s="4" t="s">
        <v>9</v>
      </c>
      <c r="E926" s="4" t="s">
        <v>23</v>
      </c>
      <c r="F926" s="5">
        <v>12.0</v>
      </c>
      <c r="G926" s="6">
        <v>21360.32</v>
      </c>
      <c r="H926" s="6">
        <v>256323.84</v>
      </c>
    </row>
    <row r="927">
      <c r="B927" s="4" t="s">
        <v>1111</v>
      </c>
      <c r="C927" s="4" t="s">
        <v>2059</v>
      </c>
      <c r="D927" s="4" t="s">
        <v>9</v>
      </c>
      <c r="E927" s="4" t="s">
        <v>23</v>
      </c>
      <c r="F927" s="5">
        <v>2.0</v>
      </c>
      <c r="G927" s="6">
        <v>179788.22</v>
      </c>
      <c r="H927" s="6">
        <v>359576.44</v>
      </c>
    </row>
    <row r="928">
      <c r="B928" s="4" t="s">
        <v>2060</v>
      </c>
      <c r="C928" s="4" t="s">
        <v>2061</v>
      </c>
      <c r="D928" s="4" t="s">
        <v>9</v>
      </c>
      <c r="E928" s="4" t="s">
        <v>23</v>
      </c>
      <c r="F928" s="5">
        <v>41.0</v>
      </c>
      <c r="G928" s="6">
        <v>5104.83</v>
      </c>
      <c r="H928" s="6">
        <v>209298.03</v>
      </c>
    </row>
    <row r="929">
      <c r="B929" s="4" t="s">
        <v>2062</v>
      </c>
      <c r="C929" s="4" t="s">
        <v>2063</v>
      </c>
      <c r="D929" s="4" t="s">
        <v>9</v>
      </c>
      <c r="E929" s="4" t="s">
        <v>23</v>
      </c>
      <c r="F929" s="5">
        <v>118.0</v>
      </c>
      <c r="G929" s="6">
        <v>6191.54</v>
      </c>
      <c r="H929" s="6">
        <v>730601.72</v>
      </c>
    </row>
    <row r="930">
      <c r="B930" s="4" t="s">
        <v>2064</v>
      </c>
      <c r="C930" s="4" t="s">
        <v>2065</v>
      </c>
      <c r="D930" s="4" t="s">
        <v>9</v>
      </c>
      <c r="E930" s="4" t="s">
        <v>23</v>
      </c>
      <c r="F930" s="5">
        <v>74.0</v>
      </c>
      <c r="G930" s="6">
        <v>4123.08</v>
      </c>
      <c r="H930" s="6">
        <v>305107.92</v>
      </c>
    </row>
    <row r="931">
      <c r="B931" s="4" t="s">
        <v>2066</v>
      </c>
      <c r="C931" s="4" t="s">
        <v>2067</v>
      </c>
      <c r="D931" s="4" t="s">
        <v>9</v>
      </c>
      <c r="E931" s="4" t="s">
        <v>23</v>
      </c>
      <c r="F931" s="5">
        <v>6.0</v>
      </c>
      <c r="G931" s="6">
        <v>40089.56</v>
      </c>
      <c r="H931" s="6">
        <v>240537.36</v>
      </c>
    </row>
    <row r="932">
      <c r="B932" s="4" t="s">
        <v>2068</v>
      </c>
      <c r="C932" s="4" t="s">
        <v>2069</v>
      </c>
      <c r="D932" s="4" t="s">
        <v>9</v>
      </c>
      <c r="E932" s="4" t="s">
        <v>23</v>
      </c>
      <c r="F932" s="5">
        <v>6.0</v>
      </c>
      <c r="G932" s="6">
        <v>47331.28</v>
      </c>
      <c r="H932" s="6">
        <v>283987.68</v>
      </c>
    </row>
    <row r="933">
      <c r="B933" s="4" t="s">
        <v>2070</v>
      </c>
      <c r="C933" s="4" t="s">
        <v>2071</v>
      </c>
      <c r="D933" s="4" t="s">
        <v>9</v>
      </c>
      <c r="E933" s="4" t="s">
        <v>23</v>
      </c>
      <c r="F933" s="5">
        <v>5.0</v>
      </c>
      <c r="G933" s="6">
        <v>44771.41</v>
      </c>
      <c r="H933" s="6">
        <v>223857.05</v>
      </c>
    </row>
    <row r="934">
      <c r="B934" s="19" t="s">
        <v>2072</v>
      </c>
      <c r="C934" s="4" t="s">
        <v>2073</v>
      </c>
      <c r="D934" s="4" t="s">
        <v>9</v>
      </c>
      <c r="E934" s="4" t="s">
        <v>23</v>
      </c>
      <c r="F934" s="5">
        <v>22.0</v>
      </c>
      <c r="G934" s="6">
        <v>12581.26</v>
      </c>
      <c r="H934" s="6">
        <v>276787.72</v>
      </c>
    </row>
    <row r="935">
      <c r="B935" s="4" t="s">
        <v>1231</v>
      </c>
      <c r="C935" s="4" t="s">
        <v>2074</v>
      </c>
      <c r="D935" s="4" t="s">
        <v>9</v>
      </c>
      <c r="E935" s="4" t="s">
        <v>23</v>
      </c>
      <c r="F935" s="5">
        <v>3.0</v>
      </c>
      <c r="G935" s="6">
        <v>71778.21</v>
      </c>
      <c r="H935" s="6">
        <v>215334.63</v>
      </c>
    </row>
    <row r="936">
      <c r="B936" s="4" t="s">
        <v>2075</v>
      </c>
      <c r="C936" s="4" t="s">
        <v>2076</v>
      </c>
      <c r="D936" s="4" t="s">
        <v>9</v>
      </c>
      <c r="E936" s="4" t="s">
        <v>23</v>
      </c>
      <c r="F936" s="5">
        <v>1.0</v>
      </c>
      <c r="G936" s="6">
        <v>1414083.58</v>
      </c>
      <c r="H936" s="6">
        <v>1414083.58</v>
      </c>
    </row>
    <row r="937">
      <c r="B937" s="4" t="s">
        <v>2077</v>
      </c>
      <c r="C937" s="4" t="s">
        <v>2078</v>
      </c>
      <c r="D937" s="4" t="s">
        <v>9</v>
      </c>
      <c r="E937" s="4" t="s">
        <v>23</v>
      </c>
      <c r="F937" s="5">
        <v>5.0</v>
      </c>
      <c r="G937" s="6">
        <v>75030.06</v>
      </c>
      <c r="H937" s="6">
        <v>375150.3</v>
      </c>
    </row>
    <row r="938">
      <c r="B938" s="4" t="s">
        <v>2079</v>
      </c>
      <c r="C938" s="4" t="s">
        <v>2080</v>
      </c>
      <c r="D938" s="4" t="s">
        <v>9</v>
      </c>
      <c r="E938" s="4" t="s">
        <v>23</v>
      </c>
      <c r="F938" s="5">
        <v>5.0</v>
      </c>
      <c r="G938" s="6">
        <v>73846.88</v>
      </c>
      <c r="H938" s="6">
        <v>369234.4</v>
      </c>
    </row>
    <row r="939">
      <c r="B939" s="4" t="s">
        <v>2081</v>
      </c>
      <c r="C939" s="4" t="s">
        <v>2082</v>
      </c>
      <c r="D939" s="4" t="s">
        <v>491</v>
      </c>
      <c r="E939" s="4" t="s">
        <v>23</v>
      </c>
      <c r="F939" s="5">
        <v>180.7</v>
      </c>
      <c r="G939" s="6">
        <v>1223.29</v>
      </c>
      <c r="H939" s="6">
        <v>221048.5</v>
      </c>
    </row>
    <row r="940">
      <c r="B940" s="4" t="s">
        <v>2083</v>
      </c>
      <c r="C940" s="4" t="s">
        <v>2084</v>
      </c>
      <c r="D940" s="4" t="s">
        <v>9</v>
      </c>
      <c r="E940" s="4" t="s">
        <v>23</v>
      </c>
      <c r="F940" s="5">
        <v>4.0</v>
      </c>
      <c r="G940" s="6">
        <v>163929.05</v>
      </c>
      <c r="H940" s="6">
        <v>655716.2</v>
      </c>
    </row>
    <row r="941">
      <c r="B941" s="4" t="s">
        <v>2085</v>
      </c>
      <c r="C941" s="4" t="s">
        <v>2086</v>
      </c>
      <c r="D941" s="4" t="s">
        <v>9</v>
      </c>
      <c r="E941" s="4" t="s">
        <v>23</v>
      </c>
      <c r="F941" s="5">
        <v>4.0</v>
      </c>
      <c r="G941" s="6">
        <v>53002.47</v>
      </c>
      <c r="H941" s="6">
        <v>212009.88</v>
      </c>
    </row>
    <row r="942">
      <c r="B942" s="4" t="s">
        <v>2087</v>
      </c>
      <c r="C942" s="4" t="s">
        <v>2088</v>
      </c>
      <c r="D942" s="4" t="s">
        <v>9</v>
      </c>
      <c r="E942" s="4" t="s">
        <v>23</v>
      </c>
      <c r="F942" s="5">
        <v>16.0</v>
      </c>
      <c r="G942" s="6">
        <v>69696.11</v>
      </c>
      <c r="H942" s="6">
        <v>1115137.76</v>
      </c>
    </row>
    <row r="943">
      <c r="B943" s="4" t="s">
        <v>2089</v>
      </c>
      <c r="C943" s="4" t="s">
        <v>2090</v>
      </c>
      <c r="D943" s="4" t="s">
        <v>9</v>
      </c>
      <c r="E943" s="4" t="s">
        <v>23</v>
      </c>
      <c r="F943" s="5">
        <v>10.0</v>
      </c>
      <c r="G943" s="6">
        <v>67459.09</v>
      </c>
      <c r="H943" s="6">
        <v>674590.9</v>
      </c>
    </row>
    <row r="944">
      <c r="B944" s="4" t="s">
        <v>2091</v>
      </c>
      <c r="C944" s="4" t="s">
        <v>2092</v>
      </c>
      <c r="D944" s="4" t="s">
        <v>9</v>
      </c>
      <c r="E944" s="4" t="s">
        <v>23</v>
      </c>
      <c r="F944" s="5">
        <v>5.0</v>
      </c>
      <c r="G944" s="6">
        <v>39698.82</v>
      </c>
      <c r="H944" s="6">
        <v>198494.1</v>
      </c>
    </row>
    <row r="945">
      <c r="B945" s="4" t="s">
        <v>2093</v>
      </c>
      <c r="C945" s="4" t="s">
        <v>2094</v>
      </c>
      <c r="D945" s="4" t="s">
        <v>9</v>
      </c>
      <c r="E945" s="10"/>
      <c r="F945" s="5">
        <v>28.0</v>
      </c>
      <c r="G945" s="6">
        <v>13561.82</v>
      </c>
      <c r="H945" s="6">
        <v>379730.96</v>
      </c>
    </row>
    <row r="946">
      <c r="B946" s="4" t="s">
        <v>2095</v>
      </c>
      <c r="C946" s="4" t="s">
        <v>2096</v>
      </c>
      <c r="D946" s="4" t="s">
        <v>9</v>
      </c>
      <c r="E946" s="4" t="s">
        <v>23</v>
      </c>
      <c r="F946" s="5">
        <v>4.0</v>
      </c>
      <c r="G946" s="6">
        <v>58445.5</v>
      </c>
      <c r="H946" s="6">
        <v>233782.0</v>
      </c>
    </row>
    <row r="947">
      <c r="B947" s="4" t="s">
        <v>2097</v>
      </c>
      <c r="C947" s="4" t="s">
        <v>2098</v>
      </c>
      <c r="D947" s="4" t="s">
        <v>9</v>
      </c>
      <c r="E947" s="4" t="s">
        <v>23</v>
      </c>
      <c r="F947" s="5">
        <v>6.0</v>
      </c>
      <c r="G947" s="6">
        <v>90539.06</v>
      </c>
      <c r="H947" s="6">
        <v>543234.36</v>
      </c>
    </row>
    <row r="948">
      <c r="B948" s="4" t="s">
        <v>2099</v>
      </c>
      <c r="C948" s="4" t="s">
        <v>2100</v>
      </c>
      <c r="D948" s="4" t="s">
        <v>9</v>
      </c>
      <c r="E948" s="4" t="s">
        <v>23</v>
      </c>
      <c r="F948" s="5">
        <v>1.0</v>
      </c>
      <c r="G948" s="6">
        <v>585781.56</v>
      </c>
      <c r="H948" s="6">
        <v>585781.56</v>
      </c>
    </row>
    <row r="949">
      <c r="B949" s="4" t="s">
        <v>2101</v>
      </c>
      <c r="C949" s="4" t="s">
        <v>2102</v>
      </c>
      <c r="D949" s="4" t="s">
        <v>9</v>
      </c>
      <c r="E949" s="4" t="s">
        <v>23</v>
      </c>
      <c r="F949" s="5">
        <v>1.0</v>
      </c>
      <c r="G949" s="6">
        <v>550649.18</v>
      </c>
      <c r="H949" s="6">
        <v>550649.18</v>
      </c>
    </row>
    <row r="950">
      <c r="B950" s="19" t="s">
        <v>2103</v>
      </c>
      <c r="C950" s="4" t="s">
        <v>2104</v>
      </c>
      <c r="D950" s="4" t="s">
        <v>9</v>
      </c>
      <c r="E950" s="4" t="s">
        <v>23</v>
      </c>
      <c r="F950" s="5">
        <v>6.0</v>
      </c>
      <c r="G950" s="6">
        <v>87133.79</v>
      </c>
      <c r="H950" s="6">
        <v>522802.74</v>
      </c>
    </row>
    <row r="951">
      <c r="B951" s="19" t="s">
        <v>2105</v>
      </c>
      <c r="C951" s="4" t="s">
        <v>2106</v>
      </c>
      <c r="D951" s="4" t="s">
        <v>9</v>
      </c>
      <c r="E951" s="4" t="s">
        <v>23</v>
      </c>
      <c r="F951" s="5">
        <v>3.0</v>
      </c>
      <c r="G951" s="6">
        <v>87882.12</v>
      </c>
      <c r="H951" s="6">
        <v>263646.36</v>
      </c>
    </row>
    <row r="952">
      <c r="B952" s="4" t="s">
        <v>2107</v>
      </c>
      <c r="C952" s="4" t="s">
        <v>2108</v>
      </c>
      <c r="D952" s="4" t="s">
        <v>9</v>
      </c>
      <c r="E952" s="10"/>
      <c r="F952" s="5">
        <v>1.0</v>
      </c>
      <c r="G952" s="6">
        <v>251184.25</v>
      </c>
      <c r="H952" s="6">
        <v>251184.25</v>
      </c>
    </row>
    <row r="953">
      <c r="B953" s="4" t="s">
        <v>2109</v>
      </c>
      <c r="C953" s="4" t="s">
        <v>2110</v>
      </c>
      <c r="D953" s="4" t="s">
        <v>9</v>
      </c>
      <c r="E953" s="4" t="s">
        <v>23</v>
      </c>
      <c r="F953" s="5">
        <v>2.0</v>
      </c>
      <c r="G953" s="6">
        <v>119361.33</v>
      </c>
      <c r="H953" s="6">
        <v>238722.66</v>
      </c>
    </row>
    <row r="954">
      <c r="B954" s="4" t="s">
        <v>2111</v>
      </c>
      <c r="C954" s="4" t="s">
        <v>2112</v>
      </c>
      <c r="D954" s="4" t="s">
        <v>9</v>
      </c>
      <c r="E954" s="4" t="s">
        <v>173</v>
      </c>
      <c r="F954" s="5">
        <v>3.0</v>
      </c>
      <c r="G954" s="6">
        <v>102369.16</v>
      </c>
      <c r="H954" s="6">
        <v>307107.48</v>
      </c>
    </row>
    <row r="955">
      <c r="B955" s="4" t="s">
        <v>2113</v>
      </c>
      <c r="C955" s="4" t="s">
        <v>2114</v>
      </c>
      <c r="D955" s="4" t="s">
        <v>9</v>
      </c>
      <c r="E955" s="4" t="s">
        <v>23</v>
      </c>
      <c r="F955" s="5">
        <v>1.0</v>
      </c>
      <c r="G955" s="6">
        <v>287759.34</v>
      </c>
      <c r="H955" s="6">
        <v>287759.34</v>
      </c>
    </row>
    <row r="956">
      <c r="B956" s="4" t="s">
        <v>2115</v>
      </c>
      <c r="C956" s="4" t="s">
        <v>2116</v>
      </c>
      <c r="D956" s="4" t="s">
        <v>9</v>
      </c>
      <c r="E956" s="10"/>
      <c r="F956" s="5">
        <v>3.0</v>
      </c>
      <c r="G956" s="6">
        <v>173602.42</v>
      </c>
      <c r="H956" s="6">
        <v>520807.26</v>
      </c>
    </row>
    <row r="957">
      <c r="B957" s="4" t="s">
        <v>2117</v>
      </c>
      <c r="C957" s="4" t="s">
        <v>2118</v>
      </c>
      <c r="D957" s="4" t="s">
        <v>9</v>
      </c>
      <c r="E957" s="4" t="s">
        <v>23</v>
      </c>
      <c r="F957" s="5">
        <v>2.0</v>
      </c>
      <c r="G957" s="6">
        <v>982041.84</v>
      </c>
      <c r="H957" s="6">
        <v>1964083.68</v>
      </c>
    </row>
    <row r="958">
      <c r="B958" s="4" t="s">
        <v>2119</v>
      </c>
      <c r="C958" s="4" t="s">
        <v>2120</v>
      </c>
      <c r="D958" s="4" t="s">
        <v>9</v>
      </c>
      <c r="E958" s="4" t="s">
        <v>173</v>
      </c>
      <c r="F958" s="5">
        <v>1.0</v>
      </c>
      <c r="G958" s="6">
        <v>360361.61</v>
      </c>
      <c r="H958" s="6">
        <v>360361.61</v>
      </c>
    </row>
    <row r="959">
      <c r="B959" s="19" t="s">
        <v>2121</v>
      </c>
      <c r="C959" s="4" t="s">
        <v>2122</v>
      </c>
      <c r="D959" s="4" t="s">
        <v>9</v>
      </c>
      <c r="E959" s="4" t="s">
        <v>23</v>
      </c>
      <c r="F959" s="5">
        <v>6.0</v>
      </c>
      <c r="G959" s="6">
        <v>31459.67</v>
      </c>
      <c r="H959" s="6">
        <v>188758.02</v>
      </c>
    </row>
    <row r="960">
      <c r="B960" s="19" t="s">
        <v>2123</v>
      </c>
      <c r="C960" s="4" t="s">
        <v>2124</v>
      </c>
      <c r="D960" s="4" t="s">
        <v>9</v>
      </c>
      <c r="E960" s="4" t="s">
        <v>23</v>
      </c>
      <c r="F960" s="5">
        <v>10.0</v>
      </c>
      <c r="G960" s="6">
        <v>17992.18</v>
      </c>
      <c r="H960" s="6">
        <v>179921.8</v>
      </c>
    </row>
    <row r="961">
      <c r="B961" s="19" t="s">
        <v>2125</v>
      </c>
      <c r="C961" s="4" t="s">
        <v>2126</v>
      </c>
      <c r="D961" s="4" t="s">
        <v>9</v>
      </c>
      <c r="E961" s="4" t="s">
        <v>23</v>
      </c>
      <c r="F961" s="5">
        <v>23.0</v>
      </c>
      <c r="G961" s="6">
        <v>11157.54</v>
      </c>
      <c r="H961" s="6">
        <v>256623.42</v>
      </c>
    </row>
    <row r="962">
      <c r="B962" s="19" t="s">
        <v>2127</v>
      </c>
      <c r="C962" s="4" t="s">
        <v>2128</v>
      </c>
      <c r="D962" s="4" t="s">
        <v>9</v>
      </c>
      <c r="E962" s="4" t="s">
        <v>23</v>
      </c>
      <c r="F962" s="5">
        <v>27.0</v>
      </c>
      <c r="G962" s="6">
        <v>19403.64</v>
      </c>
      <c r="H962" s="6">
        <v>523898.28</v>
      </c>
    </row>
    <row r="963">
      <c r="B963" s="19" t="s">
        <v>2129</v>
      </c>
      <c r="C963" s="4" t="s">
        <v>2130</v>
      </c>
      <c r="D963" s="4" t="s">
        <v>9</v>
      </c>
      <c r="E963" s="4" t="s">
        <v>173</v>
      </c>
      <c r="F963" s="5">
        <v>24.0</v>
      </c>
      <c r="G963" s="6">
        <v>23531.8</v>
      </c>
      <c r="H963" s="6">
        <v>564763.2</v>
      </c>
    </row>
    <row r="964">
      <c r="B964" s="4" t="s">
        <v>2131</v>
      </c>
      <c r="C964" s="4" t="s">
        <v>2132</v>
      </c>
      <c r="D964" s="4" t="s">
        <v>9</v>
      </c>
      <c r="E964" s="10"/>
      <c r="F964" s="5">
        <v>31.0</v>
      </c>
      <c r="G964" s="6">
        <v>6563.63</v>
      </c>
      <c r="H964" s="6">
        <v>203472.53</v>
      </c>
    </row>
    <row r="965">
      <c r="B965" s="19" t="s">
        <v>2133</v>
      </c>
      <c r="C965" s="4" t="s">
        <v>2134</v>
      </c>
      <c r="D965" s="4" t="s">
        <v>9</v>
      </c>
      <c r="E965" s="4" t="s">
        <v>23</v>
      </c>
      <c r="F965" s="5">
        <v>10.0</v>
      </c>
      <c r="G965" s="6">
        <v>50538.87</v>
      </c>
      <c r="H965" s="6">
        <v>505388.7</v>
      </c>
    </row>
    <row r="966">
      <c r="B966" s="19" t="s">
        <v>2135</v>
      </c>
      <c r="C966" s="4" t="s">
        <v>2136</v>
      </c>
      <c r="D966" s="4" t="s">
        <v>9</v>
      </c>
      <c r="E966" s="4" t="s">
        <v>23</v>
      </c>
      <c r="F966" s="5">
        <v>4.0</v>
      </c>
      <c r="G966" s="6">
        <v>64688.62</v>
      </c>
      <c r="H966" s="6">
        <v>258754.48</v>
      </c>
    </row>
    <row r="967">
      <c r="B967" s="19" t="s">
        <v>2137</v>
      </c>
      <c r="C967" s="4" t="s">
        <v>2138</v>
      </c>
      <c r="D967" s="4" t="s">
        <v>491</v>
      </c>
      <c r="E967" s="4" t="s">
        <v>23</v>
      </c>
      <c r="F967" s="5">
        <v>56.0</v>
      </c>
      <c r="G967" s="6">
        <v>21363.5</v>
      </c>
      <c r="H967" s="6">
        <v>1196356.0</v>
      </c>
    </row>
    <row r="968">
      <c r="B968" s="4" t="s">
        <v>2139</v>
      </c>
      <c r="C968" s="4" t="s">
        <v>2140</v>
      </c>
      <c r="D968" s="4" t="s">
        <v>9</v>
      </c>
      <c r="E968" s="10"/>
      <c r="F968" s="5">
        <v>6.0</v>
      </c>
      <c r="G968" s="6">
        <v>73737.84</v>
      </c>
      <c r="H968" s="6">
        <v>442427.04</v>
      </c>
    </row>
    <row r="969">
      <c r="B969" s="4" t="s">
        <v>2141</v>
      </c>
      <c r="C969" s="4" t="s">
        <v>2142</v>
      </c>
      <c r="D969" s="4" t="s">
        <v>9</v>
      </c>
      <c r="E969" s="4" t="s">
        <v>173</v>
      </c>
      <c r="F969" s="5">
        <v>3.0</v>
      </c>
      <c r="G969" s="6">
        <v>251592.1</v>
      </c>
      <c r="H969" s="6">
        <v>754776.3</v>
      </c>
    </row>
    <row r="970">
      <c r="B970" s="4" t="s">
        <v>2143</v>
      </c>
      <c r="C970" s="4" t="s">
        <v>2144</v>
      </c>
      <c r="D970" s="4" t="s">
        <v>9</v>
      </c>
      <c r="E970" s="10"/>
      <c r="F970" s="5">
        <v>4.0</v>
      </c>
      <c r="G970" s="6">
        <v>88634.02</v>
      </c>
      <c r="H970" s="6">
        <v>354536.08</v>
      </c>
    </row>
    <row r="971">
      <c r="B971" s="4" t="s">
        <v>2145</v>
      </c>
      <c r="C971" s="4" t="s">
        <v>2146</v>
      </c>
      <c r="D971" s="4" t="s">
        <v>9</v>
      </c>
      <c r="E971" s="4" t="s">
        <v>23</v>
      </c>
      <c r="F971" s="5">
        <v>1.0</v>
      </c>
      <c r="G971" s="6">
        <v>226024.67</v>
      </c>
      <c r="H971" s="6">
        <v>226024.67</v>
      </c>
    </row>
    <row r="972">
      <c r="B972" s="19" t="s">
        <v>2147</v>
      </c>
      <c r="C972" s="4" t="s">
        <v>2148</v>
      </c>
      <c r="D972" s="4" t="s">
        <v>9</v>
      </c>
      <c r="E972" s="4" t="s">
        <v>23</v>
      </c>
      <c r="F972" s="5">
        <v>4.0</v>
      </c>
      <c r="G972" s="6">
        <v>47756.62</v>
      </c>
      <c r="H972" s="6">
        <v>191026.48</v>
      </c>
    </row>
    <row r="973">
      <c r="B973" s="19" t="s">
        <v>2149</v>
      </c>
      <c r="C973" s="4" t="s">
        <v>2150</v>
      </c>
      <c r="D973" s="4" t="s">
        <v>9</v>
      </c>
      <c r="E973" s="10"/>
      <c r="F973" s="5">
        <v>2.0</v>
      </c>
      <c r="G973" s="6">
        <v>345023.66</v>
      </c>
      <c r="H973" s="6">
        <v>690047.32</v>
      </c>
    </row>
    <row r="974">
      <c r="B974" s="19" t="s">
        <v>2151</v>
      </c>
      <c r="C974" s="4" t="s">
        <v>2152</v>
      </c>
      <c r="D974" s="4" t="s">
        <v>9</v>
      </c>
      <c r="E974" s="4" t="s">
        <v>23</v>
      </c>
      <c r="F974" s="5">
        <v>3.0</v>
      </c>
      <c r="G974" s="6">
        <v>222783.95</v>
      </c>
      <c r="H974" s="6">
        <v>668351.85</v>
      </c>
    </row>
    <row r="975">
      <c r="B975" s="4" t="s">
        <v>2153</v>
      </c>
      <c r="C975" s="4" t="s">
        <v>2154</v>
      </c>
      <c r="D975" s="4" t="s">
        <v>9</v>
      </c>
      <c r="E975" s="4" t="s">
        <v>23</v>
      </c>
      <c r="F975" s="5">
        <v>10.0</v>
      </c>
      <c r="G975" s="6">
        <v>110359.2</v>
      </c>
      <c r="H975" s="6">
        <v>1103592.0</v>
      </c>
    </row>
    <row r="976">
      <c r="B976" s="4" t="s">
        <v>2155</v>
      </c>
      <c r="C976" s="4" t="s">
        <v>2156</v>
      </c>
      <c r="D976" s="4" t="s">
        <v>9</v>
      </c>
      <c r="E976" s="4" t="s">
        <v>23</v>
      </c>
      <c r="F976" s="5">
        <v>8.0</v>
      </c>
      <c r="G976" s="6">
        <v>133875.72</v>
      </c>
      <c r="H976" s="6">
        <v>1071005.76</v>
      </c>
    </row>
    <row r="977">
      <c r="B977" s="4" t="s">
        <v>2157</v>
      </c>
      <c r="C977" s="4" t="s">
        <v>2158</v>
      </c>
      <c r="D977" s="4" t="s">
        <v>9</v>
      </c>
      <c r="E977" s="4" t="s">
        <v>23</v>
      </c>
      <c r="F977" s="5">
        <v>63.0</v>
      </c>
      <c r="G977" s="6">
        <v>7220.79</v>
      </c>
      <c r="H977" s="6">
        <v>454909.77</v>
      </c>
    </row>
    <row r="978">
      <c r="B978" s="4" t="s">
        <v>2159</v>
      </c>
      <c r="C978" s="4" t="s">
        <v>2160</v>
      </c>
      <c r="D978" s="4" t="s">
        <v>9</v>
      </c>
      <c r="E978" s="4" t="s">
        <v>23</v>
      </c>
      <c r="F978" s="5">
        <v>6.0</v>
      </c>
      <c r="G978" s="6">
        <v>190078.21</v>
      </c>
      <c r="H978" s="6">
        <v>1140469.26</v>
      </c>
    </row>
    <row r="979">
      <c r="B979" s="4" t="s">
        <v>2161</v>
      </c>
      <c r="C979" s="4" t="s">
        <v>2162</v>
      </c>
      <c r="D979" s="4" t="s">
        <v>9</v>
      </c>
      <c r="E979" s="4" t="s">
        <v>23</v>
      </c>
      <c r="F979" s="5">
        <v>8.0</v>
      </c>
      <c r="G979" s="6">
        <v>54016.34</v>
      </c>
      <c r="H979" s="6">
        <v>432130.72</v>
      </c>
    </row>
    <row r="980">
      <c r="B980" s="4" t="s">
        <v>2163</v>
      </c>
      <c r="C980" s="4" t="s">
        <v>2164</v>
      </c>
      <c r="D980" s="4" t="s">
        <v>9</v>
      </c>
      <c r="E980" s="4" t="s">
        <v>23</v>
      </c>
      <c r="F980" s="5">
        <v>2.0</v>
      </c>
      <c r="G980" s="6">
        <v>369226.05</v>
      </c>
      <c r="H980" s="6">
        <v>738452.1</v>
      </c>
    </row>
    <row r="981">
      <c r="B981" s="4" t="s">
        <v>2165</v>
      </c>
      <c r="C981" s="4" t="s">
        <v>2166</v>
      </c>
      <c r="D981" s="4" t="s">
        <v>9</v>
      </c>
      <c r="E981" s="4" t="s">
        <v>23</v>
      </c>
      <c r="F981" s="5">
        <v>8.0</v>
      </c>
      <c r="G981" s="6">
        <v>82903.33</v>
      </c>
      <c r="H981" s="6">
        <v>663226.64</v>
      </c>
    </row>
    <row r="982">
      <c r="B982" s="4" t="s">
        <v>2167</v>
      </c>
      <c r="C982" s="4" t="s">
        <v>2168</v>
      </c>
      <c r="D982" s="4" t="s">
        <v>9</v>
      </c>
      <c r="E982" s="4" t="s">
        <v>23</v>
      </c>
      <c r="F982" s="5">
        <v>2.0</v>
      </c>
      <c r="G982" s="6">
        <v>618210.48</v>
      </c>
      <c r="H982" s="6">
        <v>1236420.96</v>
      </c>
    </row>
    <row r="983">
      <c r="B983" s="19" t="s">
        <v>2169</v>
      </c>
      <c r="C983" s="4" t="s">
        <v>2170</v>
      </c>
      <c r="D983" s="4" t="s">
        <v>9</v>
      </c>
      <c r="E983" s="4" t="s">
        <v>23</v>
      </c>
      <c r="F983" s="5">
        <v>8.0</v>
      </c>
      <c r="G983" s="6">
        <v>39407.86</v>
      </c>
      <c r="H983" s="6">
        <v>315262.88</v>
      </c>
    </row>
    <row r="984">
      <c r="B984" s="19" t="s">
        <v>2171</v>
      </c>
      <c r="C984" s="4" t="s">
        <v>2172</v>
      </c>
      <c r="D984" s="4" t="s">
        <v>9</v>
      </c>
      <c r="E984" s="4" t="s">
        <v>23</v>
      </c>
      <c r="F984" s="5">
        <v>1.0</v>
      </c>
      <c r="G984" s="6">
        <v>197608.1</v>
      </c>
      <c r="H984" s="6">
        <v>197608.1</v>
      </c>
    </row>
    <row r="985">
      <c r="B985" s="4" t="s">
        <v>2173</v>
      </c>
      <c r="C985" s="4" t="s">
        <v>2174</v>
      </c>
      <c r="D985" s="4" t="s">
        <v>9</v>
      </c>
      <c r="E985" s="4" t="s">
        <v>23</v>
      </c>
      <c r="F985" s="5">
        <v>1.0</v>
      </c>
      <c r="G985" s="6">
        <v>3159600.43</v>
      </c>
      <c r="H985" s="6">
        <v>3159600.43</v>
      </c>
    </row>
    <row r="986">
      <c r="B986" s="19" t="s">
        <v>2175</v>
      </c>
      <c r="C986" s="4" t="s">
        <v>2176</v>
      </c>
      <c r="D986" s="4" t="s">
        <v>9</v>
      </c>
      <c r="E986" s="4" t="s">
        <v>23</v>
      </c>
      <c r="F986" s="5">
        <v>1.0</v>
      </c>
      <c r="G986" s="6">
        <v>295696.11</v>
      </c>
      <c r="H986" s="6">
        <v>295696.11</v>
      </c>
    </row>
    <row r="987">
      <c r="B987" s="19" t="s">
        <v>2177</v>
      </c>
      <c r="C987" s="4" t="s">
        <v>2178</v>
      </c>
      <c r="D987" s="4" t="s">
        <v>9</v>
      </c>
      <c r="E987" s="4" t="s">
        <v>23</v>
      </c>
      <c r="F987" s="5">
        <v>10.0</v>
      </c>
      <c r="G987" s="6">
        <v>27752.81</v>
      </c>
      <c r="H987" s="6">
        <v>277528.1</v>
      </c>
    </row>
    <row r="988">
      <c r="B988" s="4" t="s">
        <v>2179</v>
      </c>
      <c r="C988" s="4" t="s">
        <v>2180</v>
      </c>
      <c r="D988" s="4" t="s">
        <v>9</v>
      </c>
      <c r="E988" s="4" t="s">
        <v>23</v>
      </c>
      <c r="F988" s="5">
        <v>12.0</v>
      </c>
      <c r="G988" s="6">
        <v>24065.33</v>
      </c>
      <c r="H988" s="6">
        <v>288783.96</v>
      </c>
    </row>
    <row r="989">
      <c r="B989" s="4" t="s">
        <v>2181</v>
      </c>
      <c r="C989" s="4" t="s">
        <v>2182</v>
      </c>
      <c r="D989" s="4" t="s">
        <v>9</v>
      </c>
      <c r="E989" s="4" t="s">
        <v>23</v>
      </c>
      <c r="F989" s="5">
        <v>7.0</v>
      </c>
      <c r="G989" s="6">
        <v>36237.63</v>
      </c>
      <c r="H989" s="6">
        <v>253663.41</v>
      </c>
    </row>
    <row r="990">
      <c r="B990" s="19" t="s">
        <v>2183</v>
      </c>
      <c r="C990" s="4" t="s">
        <v>2184</v>
      </c>
      <c r="D990" s="4" t="s">
        <v>9</v>
      </c>
      <c r="E990" s="4" t="s">
        <v>23</v>
      </c>
      <c r="F990" s="5">
        <v>11.0</v>
      </c>
      <c r="G990" s="6">
        <v>27378.18</v>
      </c>
      <c r="H990" s="6">
        <v>301159.98</v>
      </c>
    </row>
    <row r="991">
      <c r="B991" s="19" t="s">
        <v>2185</v>
      </c>
      <c r="C991" s="4" t="s">
        <v>2186</v>
      </c>
      <c r="D991" s="4" t="s">
        <v>9</v>
      </c>
      <c r="E991" s="4" t="s">
        <v>23</v>
      </c>
      <c r="F991" s="5">
        <v>4.0</v>
      </c>
      <c r="G991" s="6">
        <v>140074.67</v>
      </c>
      <c r="H991" s="6">
        <v>560298.68</v>
      </c>
    </row>
    <row r="992">
      <c r="B992" s="19" t="s">
        <v>2187</v>
      </c>
      <c r="C992" s="4" t="s">
        <v>2188</v>
      </c>
      <c r="D992" s="4" t="s">
        <v>9</v>
      </c>
      <c r="E992" s="4" t="s">
        <v>23</v>
      </c>
      <c r="F992" s="5">
        <v>6.0</v>
      </c>
      <c r="G992" s="6">
        <v>37084.38</v>
      </c>
      <c r="H992" s="6">
        <v>222506.28</v>
      </c>
    </row>
    <row r="993">
      <c r="B993" s="4" t="s">
        <v>2189</v>
      </c>
      <c r="C993" s="4" t="s">
        <v>2190</v>
      </c>
      <c r="D993" s="4" t="s">
        <v>9</v>
      </c>
      <c r="E993" s="4" t="s">
        <v>173</v>
      </c>
      <c r="F993" s="5">
        <v>3.0</v>
      </c>
      <c r="G993" s="6">
        <v>510902.64</v>
      </c>
      <c r="H993" s="6">
        <v>1532707.92</v>
      </c>
    </row>
    <row r="994">
      <c r="B994" s="4" t="s">
        <v>2191</v>
      </c>
      <c r="C994" s="4" t="s">
        <v>2192</v>
      </c>
      <c r="D994" s="4" t="s">
        <v>9</v>
      </c>
      <c r="E994" s="4" t="s">
        <v>173</v>
      </c>
      <c r="F994" s="5">
        <v>20.0</v>
      </c>
      <c r="G994" s="6">
        <v>29807.41</v>
      </c>
      <c r="H994" s="6">
        <v>596148.2</v>
      </c>
    </row>
    <row r="995">
      <c r="B995" s="4" t="s">
        <v>2193</v>
      </c>
      <c r="C995" s="4" t="s">
        <v>2194</v>
      </c>
      <c r="D995" s="4" t="s">
        <v>9</v>
      </c>
      <c r="E995" s="4" t="s">
        <v>173</v>
      </c>
      <c r="F995" s="5">
        <v>1.0</v>
      </c>
      <c r="G995" s="6">
        <v>222906.0</v>
      </c>
      <c r="H995" s="6">
        <v>222906.0</v>
      </c>
    </row>
    <row r="996">
      <c r="B996" s="4" t="s">
        <v>2195</v>
      </c>
      <c r="C996" s="4" t="s">
        <v>2196</v>
      </c>
      <c r="D996" s="4" t="s">
        <v>9</v>
      </c>
      <c r="E996" s="4" t="s">
        <v>173</v>
      </c>
      <c r="F996" s="5">
        <v>8.0</v>
      </c>
      <c r="G996" s="6">
        <v>49809.48</v>
      </c>
      <c r="H996" s="6">
        <v>398475.84</v>
      </c>
    </row>
    <row r="997">
      <c r="B997" s="4" t="s">
        <v>2197</v>
      </c>
      <c r="C997" s="4" t="s">
        <v>2198</v>
      </c>
      <c r="D997" s="4" t="s">
        <v>9</v>
      </c>
      <c r="E997" s="4" t="s">
        <v>173</v>
      </c>
      <c r="F997" s="5">
        <v>13.0</v>
      </c>
      <c r="G997" s="6">
        <v>14194.25</v>
      </c>
      <c r="H997" s="6">
        <v>184525.25</v>
      </c>
    </row>
    <row r="998">
      <c r="B998" s="19" t="s">
        <v>2199</v>
      </c>
      <c r="C998" s="4" t="s">
        <v>2200</v>
      </c>
      <c r="D998" s="4" t="s">
        <v>9</v>
      </c>
      <c r="E998" s="4" t="s">
        <v>23</v>
      </c>
      <c r="F998" s="5">
        <v>2.0</v>
      </c>
      <c r="G998" s="6">
        <v>98233.39</v>
      </c>
      <c r="H998" s="6">
        <v>196466.78</v>
      </c>
    </row>
    <row r="999">
      <c r="B999" s="19" t="s">
        <v>2201</v>
      </c>
      <c r="C999" s="4" t="s">
        <v>2202</v>
      </c>
      <c r="D999" s="4" t="s">
        <v>9</v>
      </c>
      <c r="E999" s="4" t="s">
        <v>23</v>
      </c>
      <c r="F999" s="5">
        <v>2.0</v>
      </c>
      <c r="G999" s="6">
        <v>134918.84</v>
      </c>
      <c r="H999" s="6">
        <v>269837.68</v>
      </c>
    </row>
    <row r="1000">
      <c r="B1000" s="19" t="s">
        <v>2203</v>
      </c>
      <c r="C1000" s="4" t="s">
        <v>2204</v>
      </c>
      <c r="D1000" s="4" t="s">
        <v>9</v>
      </c>
      <c r="E1000" s="4" t="s">
        <v>23</v>
      </c>
      <c r="F1000" s="5">
        <v>4.0</v>
      </c>
      <c r="G1000" s="6">
        <v>65660.08</v>
      </c>
      <c r="H1000" s="6">
        <v>262640.32</v>
      </c>
    </row>
    <row r="1001">
      <c r="B1001" s="4" t="s">
        <v>2205</v>
      </c>
      <c r="C1001" s="4" t="s">
        <v>2206</v>
      </c>
      <c r="D1001" s="4" t="s">
        <v>9</v>
      </c>
      <c r="E1001" s="4" t="s">
        <v>23</v>
      </c>
      <c r="F1001" s="5">
        <v>32.0</v>
      </c>
      <c r="G1001" s="6">
        <v>19529.69</v>
      </c>
      <c r="H1001" s="6">
        <v>624950.08</v>
      </c>
    </row>
    <row r="1002">
      <c r="B1002" s="4" t="s">
        <v>2207</v>
      </c>
      <c r="C1002" s="4" t="s">
        <v>2208</v>
      </c>
      <c r="D1002" s="4" t="s">
        <v>9</v>
      </c>
      <c r="E1002" s="4" t="s">
        <v>173</v>
      </c>
      <c r="F1002" s="5">
        <v>4.0</v>
      </c>
      <c r="G1002" s="6">
        <v>127339.77</v>
      </c>
      <c r="H1002" s="6">
        <v>509359.08</v>
      </c>
    </row>
    <row r="1003">
      <c r="B1003" s="4" t="s">
        <v>2209</v>
      </c>
      <c r="C1003" s="4" t="s">
        <v>2210</v>
      </c>
      <c r="D1003" s="4" t="s">
        <v>9</v>
      </c>
      <c r="E1003" s="4" t="s">
        <v>173</v>
      </c>
      <c r="F1003" s="5">
        <v>4.0</v>
      </c>
      <c r="G1003" s="6">
        <v>136082.76</v>
      </c>
      <c r="H1003" s="6">
        <v>544331.04</v>
      </c>
    </row>
    <row r="1004">
      <c r="B1004" s="4" t="s">
        <v>2211</v>
      </c>
      <c r="C1004" s="4" t="s">
        <v>2212</v>
      </c>
      <c r="D1004" s="4" t="s">
        <v>9</v>
      </c>
      <c r="E1004" s="4" t="s">
        <v>173</v>
      </c>
      <c r="F1004" s="5">
        <v>2.0</v>
      </c>
      <c r="G1004" s="6">
        <v>321416.6</v>
      </c>
      <c r="H1004" s="6">
        <v>642833.2</v>
      </c>
    </row>
    <row r="1005">
      <c r="B1005" s="4" t="s">
        <v>2213</v>
      </c>
      <c r="C1005" s="4" t="s">
        <v>2214</v>
      </c>
      <c r="D1005" s="4" t="s">
        <v>9</v>
      </c>
      <c r="E1005" s="4" t="s">
        <v>173</v>
      </c>
      <c r="F1005" s="5">
        <v>38.0</v>
      </c>
      <c r="G1005" s="6">
        <v>13274.67</v>
      </c>
      <c r="H1005" s="6">
        <v>504437.46</v>
      </c>
    </row>
    <row r="1006">
      <c r="B1006" s="4" t="s">
        <v>2215</v>
      </c>
      <c r="C1006" s="4" t="s">
        <v>2216</v>
      </c>
      <c r="D1006" s="4" t="s">
        <v>9</v>
      </c>
      <c r="E1006" s="4" t="s">
        <v>173</v>
      </c>
      <c r="F1006" s="5">
        <v>8.0</v>
      </c>
      <c r="G1006" s="6">
        <v>26603.32</v>
      </c>
      <c r="H1006" s="6">
        <v>212826.56</v>
      </c>
    </row>
    <row r="1007">
      <c r="B1007" s="4" t="s">
        <v>2217</v>
      </c>
      <c r="C1007" s="4" t="s">
        <v>2218</v>
      </c>
      <c r="D1007" s="4" t="s">
        <v>9</v>
      </c>
      <c r="E1007" s="4" t="s">
        <v>173</v>
      </c>
      <c r="F1007" s="5">
        <v>3.0</v>
      </c>
      <c r="G1007" s="6">
        <v>79274.96</v>
      </c>
      <c r="H1007" s="6">
        <v>237824.88</v>
      </c>
    </row>
    <row r="1008">
      <c r="B1008" s="4" t="s">
        <v>2219</v>
      </c>
      <c r="C1008" s="4" t="s">
        <v>2220</v>
      </c>
      <c r="D1008" s="4" t="s">
        <v>9</v>
      </c>
      <c r="E1008" s="4" t="s">
        <v>23</v>
      </c>
      <c r="F1008" s="5">
        <v>1.0</v>
      </c>
      <c r="G1008" s="6">
        <v>920260.79</v>
      </c>
      <c r="H1008" s="6">
        <v>920260.79</v>
      </c>
    </row>
    <row r="1009">
      <c r="B1009" s="19" t="s">
        <v>2221</v>
      </c>
      <c r="C1009" s="4" t="s">
        <v>2222</v>
      </c>
      <c r="D1009" s="4" t="s">
        <v>9</v>
      </c>
      <c r="E1009" s="4" t="s">
        <v>23</v>
      </c>
      <c r="F1009" s="5">
        <v>5.0</v>
      </c>
      <c r="G1009" s="6">
        <v>45746.04</v>
      </c>
      <c r="H1009" s="6">
        <v>228730.2</v>
      </c>
    </row>
    <row r="1010">
      <c r="B1010" s="19" t="s">
        <v>2223</v>
      </c>
      <c r="C1010" s="4" t="s">
        <v>2224</v>
      </c>
      <c r="D1010" s="4" t="s">
        <v>9</v>
      </c>
      <c r="E1010" s="4" t="s">
        <v>23</v>
      </c>
      <c r="F1010" s="5">
        <v>2.0</v>
      </c>
      <c r="G1010" s="6">
        <v>147452.0</v>
      </c>
      <c r="H1010" s="6">
        <v>294904.0</v>
      </c>
    </row>
    <row r="1011">
      <c r="B1011" s="4" t="s">
        <v>2225</v>
      </c>
      <c r="C1011" s="4" t="s">
        <v>2226</v>
      </c>
      <c r="D1011" s="4" t="s">
        <v>9</v>
      </c>
      <c r="E1011" s="4" t="s">
        <v>23</v>
      </c>
      <c r="F1011" s="5">
        <v>1.0</v>
      </c>
      <c r="G1011" s="6">
        <v>1253691.95</v>
      </c>
      <c r="H1011" s="6">
        <v>1253691.95</v>
      </c>
    </row>
    <row r="1012">
      <c r="B1012" s="4" t="s">
        <v>2227</v>
      </c>
      <c r="C1012" s="4" t="s">
        <v>2228</v>
      </c>
      <c r="D1012" s="4" t="s">
        <v>9</v>
      </c>
      <c r="E1012" s="4" t="s">
        <v>23</v>
      </c>
      <c r="F1012" s="5">
        <v>1.0</v>
      </c>
      <c r="G1012" s="6">
        <v>194932.15</v>
      </c>
      <c r="H1012" s="6">
        <v>194932.15</v>
      </c>
    </row>
    <row r="1013">
      <c r="B1013" s="4" t="s">
        <v>2229</v>
      </c>
      <c r="C1013" s="4" t="s">
        <v>2230</v>
      </c>
      <c r="D1013" s="4" t="s">
        <v>9</v>
      </c>
      <c r="E1013" s="4" t="s">
        <v>23</v>
      </c>
      <c r="F1013" s="5">
        <v>1.0</v>
      </c>
      <c r="G1013" s="6">
        <v>275201.86</v>
      </c>
      <c r="H1013" s="6">
        <v>275201.86</v>
      </c>
    </row>
    <row r="1014">
      <c r="B1014" s="4" t="s">
        <v>2231</v>
      </c>
      <c r="C1014" s="4" t="s">
        <v>2232</v>
      </c>
      <c r="D1014" s="4" t="s">
        <v>9</v>
      </c>
      <c r="E1014" s="4" t="s">
        <v>23</v>
      </c>
      <c r="F1014" s="5">
        <v>1.0</v>
      </c>
      <c r="G1014" s="6">
        <v>185377.57</v>
      </c>
      <c r="H1014" s="6">
        <v>185377.57</v>
      </c>
    </row>
    <row r="1015">
      <c r="B1015" s="4" t="s">
        <v>2233</v>
      </c>
      <c r="C1015" s="4" t="s">
        <v>2234</v>
      </c>
      <c r="D1015" s="4" t="s">
        <v>9</v>
      </c>
      <c r="E1015" s="4" t="s">
        <v>23</v>
      </c>
      <c r="F1015" s="5">
        <v>1.0</v>
      </c>
      <c r="G1015" s="6">
        <v>275201.86</v>
      </c>
      <c r="H1015" s="6">
        <v>275201.86</v>
      </c>
    </row>
    <row r="1016">
      <c r="B1016" s="4" t="s">
        <v>2235</v>
      </c>
      <c r="C1016" s="4" t="s">
        <v>2236</v>
      </c>
      <c r="D1016" s="4" t="s">
        <v>9</v>
      </c>
      <c r="E1016" s="4" t="s">
        <v>23</v>
      </c>
      <c r="F1016" s="5">
        <v>1.0</v>
      </c>
      <c r="G1016" s="6">
        <v>185377.57</v>
      </c>
      <c r="H1016" s="6">
        <v>185377.57</v>
      </c>
    </row>
    <row r="1017">
      <c r="B1017" s="4" t="s">
        <v>2237</v>
      </c>
      <c r="C1017" s="4" t="s">
        <v>2238</v>
      </c>
      <c r="D1017" s="4" t="s">
        <v>9</v>
      </c>
      <c r="E1017" s="4" t="s">
        <v>23</v>
      </c>
      <c r="F1017" s="5">
        <v>1.0</v>
      </c>
      <c r="G1017" s="6">
        <v>194932.15</v>
      </c>
      <c r="H1017" s="6">
        <v>194932.15</v>
      </c>
    </row>
    <row r="1018">
      <c r="B1018" s="19" t="s">
        <v>2239</v>
      </c>
      <c r="C1018" s="4" t="s">
        <v>2240</v>
      </c>
      <c r="D1018" s="4" t="s">
        <v>9</v>
      </c>
      <c r="E1018" s="4" t="s">
        <v>23</v>
      </c>
      <c r="F1018" s="5">
        <v>1.0</v>
      </c>
      <c r="G1018" s="6">
        <v>196332.01</v>
      </c>
      <c r="H1018" s="6">
        <v>196332.01</v>
      </c>
    </row>
    <row r="1019">
      <c r="B1019" s="4" t="s">
        <v>1024</v>
      </c>
      <c r="C1019" s="4" t="s">
        <v>2241</v>
      </c>
      <c r="D1019" s="4" t="s">
        <v>2242</v>
      </c>
      <c r="E1019" s="4" t="s">
        <v>23</v>
      </c>
      <c r="F1019" s="5">
        <v>213.0</v>
      </c>
      <c r="G1019" s="6">
        <v>2867.9</v>
      </c>
      <c r="H1019" s="6">
        <v>610862.7</v>
      </c>
    </row>
    <row r="1020">
      <c r="B1020" s="4" t="s">
        <v>2243</v>
      </c>
      <c r="C1020" s="4" t="s">
        <v>2244</v>
      </c>
      <c r="D1020" s="4" t="s">
        <v>9</v>
      </c>
      <c r="E1020" s="4" t="s">
        <v>23</v>
      </c>
      <c r="F1020" s="5">
        <v>2.0</v>
      </c>
      <c r="G1020" s="6">
        <v>127826.2</v>
      </c>
      <c r="H1020" s="6">
        <v>255652.4</v>
      </c>
    </row>
    <row r="1021">
      <c r="B1021" s="4" t="s">
        <v>2245</v>
      </c>
      <c r="C1021" s="4" t="s">
        <v>2246</v>
      </c>
      <c r="D1021" s="4" t="s">
        <v>9</v>
      </c>
      <c r="E1021" s="4" t="s">
        <v>23</v>
      </c>
      <c r="F1021" s="5">
        <v>5.0</v>
      </c>
      <c r="G1021" s="6">
        <v>85607.73</v>
      </c>
      <c r="H1021" s="6">
        <v>428038.65</v>
      </c>
    </row>
    <row r="1022">
      <c r="B1022" s="19" t="s">
        <v>2247</v>
      </c>
      <c r="C1022" s="4" t="s">
        <v>2248</v>
      </c>
      <c r="D1022" s="4" t="s">
        <v>9</v>
      </c>
      <c r="E1022" s="4" t="s">
        <v>23</v>
      </c>
      <c r="F1022" s="5">
        <v>12.0</v>
      </c>
      <c r="G1022" s="6">
        <v>39652.11</v>
      </c>
      <c r="H1022" s="6">
        <v>475825.32</v>
      </c>
    </row>
    <row r="1023">
      <c r="B1023" s="19" t="s">
        <v>2249</v>
      </c>
      <c r="C1023" s="4" t="s">
        <v>2250</v>
      </c>
      <c r="D1023" s="4" t="s">
        <v>9</v>
      </c>
      <c r="E1023" s="4" t="s">
        <v>173</v>
      </c>
      <c r="F1023" s="5">
        <v>11.0</v>
      </c>
      <c r="G1023" s="6">
        <v>380145.66</v>
      </c>
      <c r="H1023" s="6">
        <v>4181602.26</v>
      </c>
    </row>
    <row r="1024">
      <c r="B1024" s="19" t="s">
        <v>2251</v>
      </c>
      <c r="C1024" s="4" t="s">
        <v>2252</v>
      </c>
      <c r="D1024" s="4" t="s">
        <v>9</v>
      </c>
      <c r="E1024" s="4" t="s">
        <v>23</v>
      </c>
      <c r="F1024" s="5">
        <v>38.0</v>
      </c>
      <c r="G1024" s="6">
        <v>7718.91</v>
      </c>
      <c r="H1024" s="6">
        <v>293318.58</v>
      </c>
    </row>
    <row r="1025">
      <c r="B1025" s="19" t="s">
        <v>2253</v>
      </c>
      <c r="C1025" s="4" t="s">
        <v>2254</v>
      </c>
      <c r="D1025" s="4" t="s">
        <v>9</v>
      </c>
      <c r="E1025" s="4" t="s">
        <v>23</v>
      </c>
      <c r="F1025" s="5">
        <v>4.0</v>
      </c>
      <c r="G1025" s="6">
        <v>62215.21</v>
      </c>
      <c r="H1025" s="6">
        <v>248860.84</v>
      </c>
    </row>
    <row r="1026">
      <c r="B1026" s="19" t="s">
        <v>2255</v>
      </c>
      <c r="C1026" s="4" t="s">
        <v>2256</v>
      </c>
      <c r="D1026" s="4" t="s">
        <v>9</v>
      </c>
      <c r="E1026" s="4" t="s">
        <v>23</v>
      </c>
      <c r="F1026" s="5">
        <v>4.0</v>
      </c>
      <c r="G1026" s="6">
        <v>59640.3</v>
      </c>
      <c r="H1026" s="6">
        <v>238561.2</v>
      </c>
    </row>
    <row r="1027">
      <c r="B1027" s="4" t="s">
        <v>2257</v>
      </c>
      <c r="C1027" s="4" t="s">
        <v>2258</v>
      </c>
      <c r="D1027" s="4" t="s">
        <v>9</v>
      </c>
      <c r="E1027" s="4" t="s">
        <v>23</v>
      </c>
      <c r="F1027" s="5">
        <v>7.0</v>
      </c>
      <c r="G1027" s="6">
        <v>29158.93</v>
      </c>
      <c r="H1027" s="6">
        <v>204112.51</v>
      </c>
    </row>
    <row r="1028">
      <c r="B1028" s="19" t="s">
        <v>2259</v>
      </c>
      <c r="C1028" s="4" t="s">
        <v>2260</v>
      </c>
      <c r="D1028" s="4" t="s">
        <v>9</v>
      </c>
      <c r="E1028" s="4" t="s">
        <v>23</v>
      </c>
      <c r="F1028" s="5">
        <v>2.0</v>
      </c>
      <c r="G1028" s="6">
        <v>98433.16</v>
      </c>
      <c r="H1028" s="6">
        <v>196866.32</v>
      </c>
    </row>
    <row r="1029">
      <c r="B1029" s="4" t="s">
        <v>2261</v>
      </c>
      <c r="C1029" s="4" t="s">
        <v>2262</v>
      </c>
      <c r="D1029" s="4" t="s">
        <v>9</v>
      </c>
      <c r="E1029" s="4" t="s">
        <v>173</v>
      </c>
      <c r="F1029" s="5">
        <v>4.0</v>
      </c>
      <c r="G1029" s="6">
        <v>425787.96</v>
      </c>
      <c r="H1029" s="6">
        <v>1703151.84</v>
      </c>
    </row>
    <row r="1030">
      <c r="B1030" s="4" t="s">
        <v>2263</v>
      </c>
      <c r="C1030" s="4" t="s">
        <v>2264</v>
      </c>
      <c r="D1030" s="4" t="s">
        <v>9</v>
      </c>
      <c r="E1030" s="4" t="s">
        <v>23</v>
      </c>
      <c r="F1030" s="5">
        <v>2.0</v>
      </c>
      <c r="G1030" s="6">
        <v>158752.09</v>
      </c>
      <c r="H1030" s="6">
        <v>317504.18</v>
      </c>
    </row>
    <row r="1031">
      <c r="B1031" s="4" t="s">
        <v>2265</v>
      </c>
      <c r="C1031" s="4" t="s">
        <v>2266</v>
      </c>
      <c r="D1031" s="4" t="s">
        <v>9</v>
      </c>
      <c r="E1031" s="4" t="s">
        <v>23</v>
      </c>
      <c r="F1031" s="5">
        <v>1.0</v>
      </c>
      <c r="G1031" s="6">
        <v>207343.9</v>
      </c>
      <c r="H1031" s="6">
        <v>207343.9</v>
      </c>
    </row>
    <row r="1032">
      <c r="B1032" s="4" t="s">
        <v>2267</v>
      </c>
      <c r="C1032" s="4" t="s">
        <v>2268</v>
      </c>
      <c r="D1032" s="4" t="s">
        <v>491</v>
      </c>
      <c r="E1032" s="4" t="s">
        <v>23</v>
      </c>
      <c r="F1032" s="5">
        <v>250.0</v>
      </c>
      <c r="G1032" s="6">
        <v>4098.05</v>
      </c>
      <c r="H1032" s="6">
        <v>1024512.5</v>
      </c>
    </row>
    <row r="1033">
      <c r="B1033" s="4" t="s">
        <v>2269</v>
      </c>
      <c r="C1033" s="4" t="s">
        <v>2270</v>
      </c>
      <c r="D1033" s="4" t="s">
        <v>9</v>
      </c>
      <c r="E1033" s="4" t="s">
        <v>23</v>
      </c>
      <c r="F1033" s="5">
        <v>40.0</v>
      </c>
      <c r="G1033" s="6">
        <v>28690.95</v>
      </c>
      <c r="H1033" s="6">
        <v>1147638.0</v>
      </c>
    </row>
    <row r="1034">
      <c r="B1034" s="4" t="s">
        <v>2271</v>
      </c>
      <c r="C1034" s="4" t="s">
        <v>2272</v>
      </c>
      <c r="D1034" s="4" t="s">
        <v>9</v>
      </c>
      <c r="E1034" s="4" t="s">
        <v>23</v>
      </c>
      <c r="F1034" s="5">
        <v>39.0</v>
      </c>
      <c r="G1034" s="6">
        <v>27764.32</v>
      </c>
      <c r="H1034" s="6">
        <v>1082808.48</v>
      </c>
    </row>
    <row r="1035">
      <c r="B1035" s="4" t="s">
        <v>2273</v>
      </c>
      <c r="C1035" s="4" t="s">
        <v>2274</v>
      </c>
      <c r="D1035" s="4" t="s">
        <v>9</v>
      </c>
      <c r="E1035" s="4" t="s">
        <v>23</v>
      </c>
      <c r="F1035" s="5">
        <v>2.0</v>
      </c>
      <c r="G1035" s="6">
        <v>611175.2</v>
      </c>
      <c r="H1035" s="6">
        <v>1222350.4</v>
      </c>
    </row>
    <row r="1036">
      <c r="B1036" s="4" t="s">
        <v>2275</v>
      </c>
      <c r="C1036" s="4" t="s">
        <v>2276</v>
      </c>
      <c r="D1036" s="4" t="s">
        <v>9</v>
      </c>
      <c r="E1036" s="4" t="s">
        <v>23</v>
      </c>
      <c r="F1036" s="5">
        <v>1.0</v>
      </c>
      <c r="G1036" s="6">
        <v>199523.54</v>
      </c>
      <c r="H1036" s="6">
        <v>199523.54</v>
      </c>
    </row>
    <row r="1037">
      <c r="B1037" s="4" t="s">
        <v>2277</v>
      </c>
      <c r="C1037" s="4" t="s">
        <v>2278</v>
      </c>
      <c r="D1037" s="4" t="s">
        <v>9</v>
      </c>
      <c r="E1037" s="4" t="s">
        <v>23</v>
      </c>
      <c r="F1037" s="5">
        <v>1.0</v>
      </c>
      <c r="G1037" s="6">
        <v>199523.54</v>
      </c>
      <c r="H1037" s="6">
        <v>199523.54</v>
      </c>
    </row>
    <row r="1038">
      <c r="B1038" s="4" t="s">
        <v>2279</v>
      </c>
      <c r="C1038" s="4" t="s">
        <v>2280</v>
      </c>
      <c r="D1038" s="4" t="s">
        <v>9</v>
      </c>
      <c r="E1038" s="4" t="s">
        <v>23</v>
      </c>
      <c r="F1038" s="5">
        <v>2.0</v>
      </c>
      <c r="G1038" s="6">
        <v>572241.29</v>
      </c>
      <c r="H1038" s="6">
        <v>1144482.58</v>
      </c>
    </row>
    <row r="1039">
      <c r="B1039" s="4" t="s">
        <v>2281</v>
      </c>
      <c r="C1039" s="4" t="s">
        <v>2282</v>
      </c>
      <c r="D1039" s="4" t="s">
        <v>9</v>
      </c>
      <c r="E1039" s="4" t="s">
        <v>23</v>
      </c>
      <c r="F1039" s="5">
        <v>4.0</v>
      </c>
      <c r="G1039" s="6">
        <v>49958.06</v>
      </c>
      <c r="H1039" s="6">
        <v>199832.24</v>
      </c>
    </row>
    <row r="1040">
      <c r="B1040" s="19" t="s">
        <v>2283</v>
      </c>
      <c r="C1040" s="4" t="s">
        <v>2284</v>
      </c>
      <c r="D1040" s="4" t="s">
        <v>9</v>
      </c>
      <c r="E1040" s="4" t="s">
        <v>23</v>
      </c>
      <c r="F1040" s="5">
        <v>92.0</v>
      </c>
      <c r="G1040" s="6">
        <v>5125.94</v>
      </c>
      <c r="H1040" s="6">
        <v>471586.48</v>
      </c>
    </row>
    <row r="1041">
      <c r="B1041" s="19" t="s">
        <v>2285</v>
      </c>
      <c r="C1041" s="4" t="s">
        <v>2286</v>
      </c>
      <c r="D1041" s="4" t="s">
        <v>9</v>
      </c>
      <c r="E1041" s="4" t="s">
        <v>23</v>
      </c>
      <c r="F1041" s="5">
        <v>8.0</v>
      </c>
      <c r="G1041" s="6">
        <v>76106.06</v>
      </c>
      <c r="H1041" s="6">
        <v>608848.48</v>
      </c>
    </row>
    <row r="1042">
      <c r="B1042" s="4" t="s">
        <v>1499</v>
      </c>
      <c r="C1042" s="4" t="s">
        <v>2287</v>
      </c>
      <c r="D1042" s="4" t="s">
        <v>9</v>
      </c>
      <c r="E1042" s="4" t="s">
        <v>23</v>
      </c>
      <c r="F1042" s="5">
        <v>13.0</v>
      </c>
      <c r="G1042" s="6">
        <v>54376.76</v>
      </c>
      <c r="H1042" s="6">
        <v>706897.88</v>
      </c>
    </row>
    <row r="1043">
      <c r="B1043" s="4" t="s">
        <v>2288</v>
      </c>
      <c r="C1043" s="4" t="s">
        <v>2289</v>
      </c>
      <c r="D1043" s="4" t="s">
        <v>9</v>
      </c>
      <c r="E1043" s="4" t="s">
        <v>23</v>
      </c>
      <c r="F1043" s="5">
        <v>2.0</v>
      </c>
      <c r="G1043" s="6">
        <v>176224.35</v>
      </c>
      <c r="H1043" s="6">
        <v>352448.7</v>
      </c>
    </row>
    <row r="1044">
      <c r="B1044" s="4" t="s">
        <v>2290</v>
      </c>
      <c r="C1044" s="4" t="s">
        <v>2291</v>
      </c>
      <c r="D1044" s="4" t="s">
        <v>9</v>
      </c>
      <c r="E1044" s="4" t="s">
        <v>23</v>
      </c>
      <c r="F1044" s="5">
        <v>1.0</v>
      </c>
      <c r="G1044" s="6">
        <v>284405.73</v>
      </c>
      <c r="H1044" s="6">
        <v>284405.73</v>
      </c>
    </row>
    <row r="1045">
      <c r="B1045" s="4" t="s">
        <v>2292</v>
      </c>
      <c r="C1045" s="4" t="s">
        <v>2293</v>
      </c>
      <c r="D1045" s="4" t="s">
        <v>9</v>
      </c>
      <c r="E1045" s="4" t="s">
        <v>23</v>
      </c>
      <c r="F1045" s="5">
        <v>3.0</v>
      </c>
      <c r="G1045" s="6">
        <v>70802.6</v>
      </c>
      <c r="H1045" s="6">
        <v>212407.8</v>
      </c>
    </row>
    <row r="1046">
      <c r="B1046" s="4" t="s">
        <v>2294</v>
      </c>
      <c r="C1046" s="4" t="s">
        <v>2295</v>
      </c>
      <c r="D1046" s="4" t="s">
        <v>9</v>
      </c>
      <c r="E1046" s="4" t="s">
        <v>173</v>
      </c>
      <c r="F1046" s="5">
        <v>2.0</v>
      </c>
      <c r="G1046" s="6">
        <v>141861.25</v>
      </c>
      <c r="H1046" s="6">
        <v>283722.5</v>
      </c>
    </row>
    <row r="1047">
      <c r="B1047" s="4" t="s">
        <v>2296</v>
      </c>
      <c r="C1047" s="4" t="s">
        <v>2297</v>
      </c>
      <c r="D1047" s="4" t="s">
        <v>9</v>
      </c>
      <c r="E1047" s="4" t="s">
        <v>173</v>
      </c>
      <c r="F1047" s="5">
        <v>10.0</v>
      </c>
      <c r="G1047" s="6">
        <v>56646.48</v>
      </c>
      <c r="H1047" s="6">
        <v>566464.8</v>
      </c>
    </row>
    <row r="1048">
      <c r="B1048" s="4" t="s">
        <v>2298</v>
      </c>
      <c r="C1048" s="4" t="s">
        <v>2299</v>
      </c>
      <c r="D1048" s="4" t="s">
        <v>9</v>
      </c>
      <c r="E1048" s="4" t="s">
        <v>173</v>
      </c>
      <c r="F1048" s="5">
        <v>8.0</v>
      </c>
      <c r="G1048" s="6">
        <v>30940.41</v>
      </c>
      <c r="H1048" s="6">
        <v>247523.28</v>
      </c>
    </row>
    <row r="1049">
      <c r="B1049" s="4" t="s">
        <v>2300</v>
      </c>
      <c r="C1049" s="4" t="s">
        <v>2301</v>
      </c>
      <c r="D1049" s="4" t="s">
        <v>9</v>
      </c>
      <c r="E1049" s="4" t="s">
        <v>173</v>
      </c>
      <c r="F1049" s="5">
        <v>5.0</v>
      </c>
      <c r="G1049" s="6">
        <v>46648.27</v>
      </c>
      <c r="H1049" s="6">
        <v>233241.35</v>
      </c>
    </row>
    <row r="1050">
      <c r="B1050" s="4" t="s">
        <v>2302</v>
      </c>
      <c r="C1050" s="4" t="s">
        <v>2303</v>
      </c>
      <c r="D1050" s="4" t="s">
        <v>9</v>
      </c>
      <c r="E1050" s="4" t="s">
        <v>173</v>
      </c>
      <c r="F1050" s="5">
        <v>10.0</v>
      </c>
      <c r="G1050" s="6">
        <v>25470.18</v>
      </c>
      <c r="H1050" s="6">
        <v>254701.8</v>
      </c>
    </row>
    <row r="1051">
      <c r="B1051" s="4" t="s">
        <v>2304</v>
      </c>
      <c r="C1051" s="4" t="s">
        <v>2305</v>
      </c>
      <c r="D1051" s="4" t="s">
        <v>9</v>
      </c>
      <c r="E1051" s="4" t="s">
        <v>173</v>
      </c>
      <c r="F1051" s="5">
        <v>3.0</v>
      </c>
      <c r="G1051" s="6">
        <v>248305.13</v>
      </c>
      <c r="H1051" s="6">
        <v>744915.39</v>
      </c>
    </row>
    <row r="1052">
      <c r="B1052" s="4" t="s">
        <v>2306</v>
      </c>
      <c r="C1052" s="4" t="s">
        <v>2307</v>
      </c>
      <c r="D1052" s="4" t="s">
        <v>9</v>
      </c>
      <c r="E1052" s="4" t="s">
        <v>173</v>
      </c>
      <c r="F1052" s="5">
        <v>1.0</v>
      </c>
      <c r="G1052" s="6">
        <v>184137.23</v>
      </c>
      <c r="H1052" s="6">
        <v>184137.23</v>
      </c>
    </row>
    <row r="1053">
      <c r="B1053" s="4" t="s">
        <v>2308</v>
      </c>
      <c r="C1053" s="4" t="s">
        <v>2309</v>
      </c>
      <c r="D1053" s="4" t="s">
        <v>9</v>
      </c>
      <c r="E1053" s="4" t="s">
        <v>23</v>
      </c>
      <c r="F1053" s="5">
        <v>1.0</v>
      </c>
      <c r="G1053" s="6">
        <v>471186.74</v>
      </c>
      <c r="H1053" s="6">
        <v>471186.74</v>
      </c>
    </row>
    <row r="1054">
      <c r="B1054" s="4" t="s">
        <v>2310</v>
      </c>
      <c r="C1054" s="4" t="s">
        <v>2311</v>
      </c>
      <c r="D1054" s="4" t="s">
        <v>9</v>
      </c>
      <c r="E1054" s="4" t="s">
        <v>23</v>
      </c>
      <c r="F1054" s="5">
        <v>1.0</v>
      </c>
      <c r="G1054" s="6">
        <v>198080.74</v>
      </c>
      <c r="H1054" s="6">
        <v>198080.74</v>
      </c>
    </row>
    <row r="1055">
      <c r="B1055" s="4" t="s">
        <v>2312</v>
      </c>
      <c r="C1055" s="4" t="s">
        <v>2313</v>
      </c>
      <c r="D1055" s="4" t="s">
        <v>9</v>
      </c>
      <c r="E1055" s="4" t="s">
        <v>23</v>
      </c>
      <c r="F1055" s="5">
        <v>4.0</v>
      </c>
      <c r="G1055" s="6">
        <v>142745.8</v>
      </c>
      <c r="H1055" s="6">
        <v>570983.2</v>
      </c>
    </row>
    <row r="1056">
      <c r="B1056" s="4" t="s">
        <v>2314</v>
      </c>
      <c r="C1056" s="4" t="s">
        <v>2315</v>
      </c>
      <c r="D1056" s="4" t="s">
        <v>9</v>
      </c>
      <c r="E1056" s="4" t="s">
        <v>173</v>
      </c>
      <c r="F1056" s="5">
        <v>5.0</v>
      </c>
      <c r="G1056" s="6">
        <v>74016.93</v>
      </c>
      <c r="H1056" s="6">
        <v>370084.65</v>
      </c>
    </row>
    <row r="1057">
      <c r="B1057" s="4" t="s">
        <v>2316</v>
      </c>
      <c r="C1057" s="4" t="s">
        <v>2317</v>
      </c>
      <c r="D1057" s="4" t="s">
        <v>9</v>
      </c>
      <c r="E1057" s="4" t="s">
        <v>173</v>
      </c>
      <c r="F1057" s="5">
        <v>2.0</v>
      </c>
      <c r="G1057" s="6">
        <v>94923.86</v>
      </c>
      <c r="H1057" s="6">
        <v>189847.72</v>
      </c>
    </row>
    <row r="1058">
      <c r="B1058" s="4" t="s">
        <v>2318</v>
      </c>
      <c r="C1058" s="4" t="s">
        <v>2319</v>
      </c>
      <c r="D1058" s="4" t="s">
        <v>9</v>
      </c>
      <c r="E1058" s="4" t="s">
        <v>173</v>
      </c>
      <c r="F1058" s="5">
        <v>8.0</v>
      </c>
      <c r="G1058" s="6">
        <v>65689.18</v>
      </c>
      <c r="H1058" s="6">
        <v>525513.44</v>
      </c>
    </row>
    <row r="1059">
      <c r="B1059" s="4" t="s">
        <v>2320</v>
      </c>
      <c r="C1059" s="4" t="s">
        <v>2321</v>
      </c>
      <c r="D1059" s="4" t="s">
        <v>9</v>
      </c>
      <c r="E1059" s="4" t="s">
        <v>173</v>
      </c>
      <c r="F1059" s="5">
        <v>24.0</v>
      </c>
      <c r="G1059" s="6">
        <v>11221.64</v>
      </c>
      <c r="H1059" s="6">
        <v>269319.36</v>
      </c>
    </row>
    <row r="1060">
      <c r="B1060" s="19" t="s">
        <v>2322</v>
      </c>
      <c r="C1060" s="4" t="s">
        <v>2323</v>
      </c>
      <c r="D1060" s="4" t="s">
        <v>9</v>
      </c>
      <c r="E1060" s="4" t="s">
        <v>23</v>
      </c>
      <c r="F1060" s="5">
        <v>20.0</v>
      </c>
      <c r="G1060" s="6">
        <v>33377.84</v>
      </c>
      <c r="H1060" s="6">
        <v>667556.8</v>
      </c>
    </row>
    <row r="1061">
      <c r="B1061" s="19" t="s">
        <v>2324</v>
      </c>
      <c r="C1061" s="4" t="s">
        <v>2325</v>
      </c>
      <c r="D1061" s="4" t="s">
        <v>9</v>
      </c>
      <c r="E1061" s="4" t="s">
        <v>23</v>
      </c>
      <c r="F1061" s="5">
        <v>8.0</v>
      </c>
      <c r="G1061" s="6">
        <v>35761.88</v>
      </c>
      <c r="H1061" s="6">
        <v>286095.04</v>
      </c>
    </row>
    <row r="1062">
      <c r="B1062" s="19" t="s">
        <v>2326</v>
      </c>
      <c r="C1062" s="4" t="s">
        <v>2327</v>
      </c>
      <c r="D1062" s="4" t="s">
        <v>9</v>
      </c>
      <c r="E1062" s="4" t="s">
        <v>23</v>
      </c>
      <c r="F1062" s="5">
        <v>5.0</v>
      </c>
      <c r="G1062" s="6">
        <v>49949.84</v>
      </c>
      <c r="H1062" s="6">
        <v>249749.2</v>
      </c>
    </row>
    <row r="1063">
      <c r="B1063" s="19" t="s">
        <v>2328</v>
      </c>
      <c r="C1063" s="4" t="s">
        <v>2329</v>
      </c>
      <c r="D1063" s="4" t="s">
        <v>9</v>
      </c>
      <c r="E1063" s="4" t="s">
        <v>23</v>
      </c>
      <c r="F1063" s="5">
        <v>2.0</v>
      </c>
      <c r="G1063" s="6">
        <v>134887.58</v>
      </c>
      <c r="H1063" s="6">
        <v>269775.16</v>
      </c>
    </row>
    <row r="1064">
      <c r="B1064" s="19" t="s">
        <v>2330</v>
      </c>
      <c r="C1064" s="4" t="s">
        <v>2331</v>
      </c>
      <c r="D1064" s="4" t="s">
        <v>9</v>
      </c>
      <c r="E1064" s="4" t="s">
        <v>23</v>
      </c>
      <c r="F1064" s="5">
        <v>1.0</v>
      </c>
      <c r="G1064" s="6">
        <v>425569.33</v>
      </c>
      <c r="H1064" s="6">
        <v>425569.33</v>
      </c>
    </row>
    <row r="1065">
      <c r="B1065" s="4" t="s">
        <v>2332</v>
      </c>
      <c r="C1065" s="4" t="s">
        <v>2333</v>
      </c>
      <c r="D1065" s="4" t="s">
        <v>9</v>
      </c>
      <c r="E1065" s="4" t="s">
        <v>23</v>
      </c>
      <c r="F1065" s="5">
        <v>12.0</v>
      </c>
      <c r="G1065" s="6">
        <v>115899.86</v>
      </c>
      <c r="H1065" s="6">
        <v>1390798.32</v>
      </c>
    </row>
    <row r="1066">
      <c r="B1066" s="19" t="s">
        <v>2334</v>
      </c>
      <c r="C1066" s="4" t="s">
        <v>2335</v>
      </c>
      <c r="D1066" s="4" t="s">
        <v>9</v>
      </c>
      <c r="E1066" s="4" t="s">
        <v>23</v>
      </c>
      <c r="F1066" s="5">
        <v>3.0</v>
      </c>
      <c r="G1066" s="6">
        <v>76369.79</v>
      </c>
      <c r="H1066" s="6">
        <v>229109.37</v>
      </c>
    </row>
    <row r="1067">
      <c r="B1067" s="4" t="s">
        <v>2336</v>
      </c>
      <c r="C1067" s="4" t="s">
        <v>2337</v>
      </c>
      <c r="D1067" s="4" t="s">
        <v>9</v>
      </c>
      <c r="E1067" s="4" t="s">
        <v>173</v>
      </c>
      <c r="F1067" s="5">
        <v>18.0</v>
      </c>
      <c r="G1067" s="6">
        <v>10037.19</v>
      </c>
      <c r="H1067" s="6">
        <v>180669.42</v>
      </c>
    </row>
    <row r="1068">
      <c r="B1068" s="4" t="s">
        <v>2338</v>
      </c>
      <c r="C1068" s="4" t="s">
        <v>2339</v>
      </c>
      <c r="D1068" s="4" t="s">
        <v>9</v>
      </c>
      <c r="E1068" s="4" t="s">
        <v>173</v>
      </c>
      <c r="F1068" s="5">
        <v>1.0</v>
      </c>
      <c r="G1068" s="6">
        <v>339415.72</v>
      </c>
      <c r="H1068" s="6">
        <v>339415.72</v>
      </c>
    </row>
    <row r="1069">
      <c r="B1069" s="4" t="s">
        <v>2340</v>
      </c>
      <c r="C1069" s="4" t="s">
        <v>2341</v>
      </c>
      <c r="D1069" s="4" t="s">
        <v>9</v>
      </c>
      <c r="E1069" s="4" t="s">
        <v>23</v>
      </c>
      <c r="F1069" s="5">
        <v>1.0</v>
      </c>
      <c r="G1069" s="6">
        <v>1843916.87</v>
      </c>
      <c r="H1069" s="6">
        <v>1843916.87</v>
      </c>
    </row>
    <row r="1070">
      <c r="B1070" s="4" t="s">
        <v>2342</v>
      </c>
      <c r="C1070" s="4" t="s">
        <v>2343</v>
      </c>
      <c r="D1070" s="4" t="s">
        <v>9</v>
      </c>
      <c r="E1070" s="4" t="s">
        <v>23</v>
      </c>
      <c r="F1070" s="5">
        <v>1.0</v>
      </c>
      <c r="G1070" s="6">
        <v>327061.14</v>
      </c>
      <c r="H1070" s="6">
        <v>327061.14</v>
      </c>
    </row>
    <row r="1071">
      <c r="B1071" s="4" t="s">
        <v>2344</v>
      </c>
      <c r="C1071" s="4" t="s">
        <v>2345</v>
      </c>
      <c r="D1071" s="4" t="s">
        <v>9</v>
      </c>
      <c r="E1071" s="4" t="s">
        <v>23</v>
      </c>
      <c r="F1071" s="5">
        <v>2.0</v>
      </c>
      <c r="G1071" s="6">
        <v>143656.52</v>
      </c>
      <c r="H1071" s="6">
        <v>287313.04</v>
      </c>
    </row>
    <row r="1072">
      <c r="B1072" s="4" t="s">
        <v>2346</v>
      </c>
      <c r="C1072" s="4" t="s">
        <v>2347</v>
      </c>
      <c r="D1072" s="4" t="s">
        <v>9</v>
      </c>
      <c r="E1072" s="4" t="s">
        <v>23</v>
      </c>
      <c r="F1072" s="5">
        <v>2.0</v>
      </c>
      <c r="G1072" s="6">
        <v>136827.17</v>
      </c>
      <c r="H1072" s="6">
        <v>273654.34</v>
      </c>
    </row>
    <row r="1073">
      <c r="B1073" s="4" t="s">
        <v>2348</v>
      </c>
      <c r="C1073" s="4" t="s">
        <v>2349</v>
      </c>
      <c r="D1073" s="4" t="s">
        <v>9</v>
      </c>
      <c r="E1073" s="4" t="s">
        <v>23</v>
      </c>
      <c r="F1073" s="5">
        <v>2.0</v>
      </c>
      <c r="G1073" s="6">
        <v>160963.28</v>
      </c>
      <c r="H1073" s="6">
        <v>321926.56</v>
      </c>
    </row>
    <row r="1074">
      <c r="B1074" s="4" t="s">
        <v>2350</v>
      </c>
      <c r="C1074" s="4" t="s">
        <v>2351</v>
      </c>
      <c r="D1074" s="4" t="s">
        <v>9</v>
      </c>
      <c r="E1074" s="4" t="s">
        <v>23</v>
      </c>
      <c r="F1074" s="5">
        <v>2.0</v>
      </c>
      <c r="G1074" s="6">
        <v>178134.08</v>
      </c>
      <c r="H1074" s="6">
        <v>356268.16</v>
      </c>
    </row>
    <row r="1075">
      <c r="B1075" s="4" t="s">
        <v>2352</v>
      </c>
      <c r="C1075" s="4" t="s">
        <v>2353</v>
      </c>
      <c r="D1075" s="4" t="s">
        <v>9</v>
      </c>
      <c r="E1075" s="4" t="s">
        <v>23</v>
      </c>
      <c r="F1075" s="5">
        <v>2.0</v>
      </c>
      <c r="G1075" s="6">
        <v>178134.08</v>
      </c>
      <c r="H1075" s="6">
        <v>356268.16</v>
      </c>
    </row>
    <row r="1076">
      <c r="B1076" s="4" t="s">
        <v>2354</v>
      </c>
      <c r="C1076" s="4" t="s">
        <v>2355</v>
      </c>
      <c r="D1076" s="4" t="s">
        <v>9</v>
      </c>
      <c r="E1076" s="4" t="s">
        <v>23</v>
      </c>
      <c r="F1076" s="5">
        <v>1.0</v>
      </c>
      <c r="G1076" s="6">
        <v>260716.05</v>
      </c>
      <c r="H1076" s="6">
        <v>260716.05</v>
      </c>
    </row>
    <row r="1077">
      <c r="B1077" s="19" t="s">
        <v>2356</v>
      </c>
      <c r="C1077" s="4" t="s">
        <v>2357</v>
      </c>
      <c r="D1077" s="4" t="s">
        <v>9</v>
      </c>
      <c r="E1077" s="4" t="s">
        <v>23</v>
      </c>
      <c r="F1077" s="5">
        <v>52.0</v>
      </c>
      <c r="G1077" s="6">
        <v>7366.76</v>
      </c>
      <c r="H1077" s="6">
        <v>383071.52</v>
      </c>
    </row>
    <row r="1078">
      <c r="B1078" s="4" t="s">
        <v>2358</v>
      </c>
      <c r="C1078" s="4" t="s">
        <v>2359</v>
      </c>
      <c r="D1078" s="4" t="s">
        <v>9</v>
      </c>
      <c r="E1078" s="4" t="s">
        <v>23</v>
      </c>
      <c r="F1078" s="5">
        <v>1.0</v>
      </c>
      <c r="G1078" s="6">
        <v>962308.91</v>
      </c>
      <c r="H1078" s="6">
        <v>962308.91</v>
      </c>
    </row>
    <row r="1079">
      <c r="B1079" s="19" t="s">
        <v>2360</v>
      </c>
      <c r="C1079" s="4" t="s">
        <v>2361</v>
      </c>
      <c r="D1079" s="4" t="s">
        <v>9</v>
      </c>
      <c r="E1079" s="4" t="s">
        <v>23</v>
      </c>
      <c r="F1079" s="5">
        <v>3.0</v>
      </c>
      <c r="G1079" s="6">
        <v>161374.65</v>
      </c>
      <c r="H1079" s="6">
        <v>484123.95</v>
      </c>
    </row>
    <row r="1080">
      <c r="B1080" s="19" t="s">
        <v>2362</v>
      </c>
      <c r="C1080" s="4" t="s">
        <v>2363</v>
      </c>
      <c r="D1080" s="4" t="s">
        <v>9</v>
      </c>
      <c r="E1080" s="4" t="s">
        <v>23</v>
      </c>
      <c r="F1080" s="5">
        <v>4.0</v>
      </c>
      <c r="G1080" s="6">
        <v>73172.13</v>
      </c>
      <c r="H1080" s="6">
        <v>292688.52</v>
      </c>
    </row>
    <row r="1081">
      <c r="B1081" s="19" t="s">
        <v>2364</v>
      </c>
      <c r="C1081" s="4" t="s">
        <v>2365</v>
      </c>
      <c r="D1081" s="4" t="s">
        <v>9</v>
      </c>
      <c r="E1081" s="4" t="s">
        <v>23</v>
      </c>
      <c r="F1081" s="5">
        <v>20.0</v>
      </c>
      <c r="G1081" s="6">
        <v>30681.34</v>
      </c>
      <c r="H1081" s="6">
        <v>613626.8</v>
      </c>
    </row>
    <row r="1082">
      <c r="B1082" s="19" t="s">
        <v>2366</v>
      </c>
      <c r="C1082" s="4" t="s">
        <v>2367</v>
      </c>
      <c r="D1082" s="4" t="s">
        <v>9</v>
      </c>
      <c r="E1082" s="4" t="s">
        <v>23</v>
      </c>
      <c r="F1082" s="5">
        <v>49.0</v>
      </c>
      <c r="G1082" s="6">
        <v>26936.97</v>
      </c>
      <c r="H1082" s="6">
        <v>1319911.53</v>
      </c>
    </row>
    <row r="1083">
      <c r="B1083" s="19" t="s">
        <v>2368</v>
      </c>
      <c r="C1083" s="4" t="s">
        <v>2369</v>
      </c>
      <c r="D1083" s="4" t="s">
        <v>9</v>
      </c>
      <c r="E1083" s="4" t="s">
        <v>23</v>
      </c>
      <c r="F1083" s="5">
        <v>19.0</v>
      </c>
      <c r="G1083" s="6">
        <v>15304.13</v>
      </c>
      <c r="H1083" s="6">
        <v>290778.47</v>
      </c>
    </row>
    <row r="1084">
      <c r="B1084" s="4" t="s">
        <v>2370</v>
      </c>
      <c r="C1084" s="4" t="s">
        <v>2371</v>
      </c>
      <c r="D1084" s="4" t="s">
        <v>9</v>
      </c>
      <c r="E1084" s="4" t="s">
        <v>23</v>
      </c>
      <c r="F1084" s="5">
        <v>1.0</v>
      </c>
      <c r="G1084" s="6">
        <v>919526.44</v>
      </c>
      <c r="H1084" s="6">
        <v>919526.44</v>
      </c>
    </row>
    <row r="1085">
      <c r="B1085" s="4" t="s">
        <v>2372</v>
      </c>
      <c r="C1085" s="4" t="s">
        <v>2373</v>
      </c>
      <c r="D1085" s="4" t="s">
        <v>9</v>
      </c>
      <c r="E1085" s="4" t="s">
        <v>23</v>
      </c>
      <c r="F1085" s="5">
        <v>3.0</v>
      </c>
      <c r="G1085" s="6">
        <v>144203.27</v>
      </c>
      <c r="H1085" s="6">
        <v>432609.81</v>
      </c>
    </row>
    <row r="1086">
      <c r="B1086" s="4" t="s">
        <v>2374</v>
      </c>
      <c r="C1086" s="4" t="s">
        <v>2375</v>
      </c>
      <c r="D1086" s="4" t="s">
        <v>9</v>
      </c>
      <c r="E1086" s="4" t="s">
        <v>23</v>
      </c>
      <c r="F1086" s="5">
        <v>2.0</v>
      </c>
      <c r="G1086" s="6">
        <v>133698.4</v>
      </c>
      <c r="H1086" s="6">
        <v>267396.8</v>
      </c>
    </row>
    <row r="1087">
      <c r="B1087" s="4" t="s">
        <v>2376</v>
      </c>
      <c r="C1087" s="4" t="s">
        <v>2377</v>
      </c>
      <c r="D1087" s="4" t="s">
        <v>9</v>
      </c>
      <c r="E1087" s="4" t="s">
        <v>23</v>
      </c>
      <c r="F1087" s="5">
        <v>3.0</v>
      </c>
      <c r="G1087" s="6">
        <v>126058.49</v>
      </c>
      <c r="H1087" s="6">
        <v>378175.47</v>
      </c>
    </row>
    <row r="1088">
      <c r="B1088" s="4" t="s">
        <v>2378</v>
      </c>
      <c r="C1088" s="4" t="s">
        <v>2379</v>
      </c>
      <c r="D1088" s="4" t="s">
        <v>9</v>
      </c>
      <c r="E1088" s="4" t="s">
        <v>23</v>
      </c>
      <c r="F1088" s="5">
        <v>1.0</v>
      </c>
      <c r="G1088" s="6">
        <v>364169.92</v>
      </c>
      <c r="H1088" s="6">
        <v>364169.92</v>
      </c>
    </row>
    <row r="1089">
      <c r="B1089" s="4" t="s">
        <v>2380</v>
      </c>
      <c r="C1089" s="4" t="s">
        <v>2381</v>
      </c>
      <c r="D1089" s="4" t="s">
        <v>9</v>
      </c>
      <c r="E1089" s="4" t="s">
        <v>23</v>
      </c>
      <c r="F1089" s="5">
        <v>5.0</v>
      </c>
      <c r="G1089" s="6">
        <v>96788.02</v>
      </c>
      <c r="H1089" s="6">
        <v>483940.1</v>
      </c>
    </row>
    <row r="1090">
      <c r="B1090" s="19" t="s">
        <v>2382</v>
      </c>
      <c r="C1090" s="4" t="s">
        <v>2383</v>
      </c>
      <c r="D1090" s="4" t="s">
        <v>9</v>
      </c>
      <c r="E1090" s="4" t="s">
        <v>23</v>
      </c>
      <c r="F1090" s="5">
        <v>46.0</v>
      </c>
      <c r="G1090" s="6">
        <v>12853.71</v>
      </c>
      <c r="H1090" s="6">
        <v>591270.66</v>
      </c>
    </row>
    <row r="1091">
      <c r="B1091" s="19" t="s">
        <v>2384</v>
      </c>
      <c r="C1091" s="4" t="s">
        <v>2385</v>
      </c>
      <c r="D1091" s="4" t="s">
        <v>9</v>
      </c>
      <c r="E1091" s="4" t="s">
        <v>23</v>
      </c>
      <c r="F1091" s="5">
        <v>36.0</v>
      </c>
      <c r="G1091" s="6">
        <v>6673.54</v>
      </c>
      <c r="H1091" s="6">
        <v>240247.44</v>
      </c>
    </row>
    <row r="1092">
      <c r="B1092" s="19" t="s">
        <v>2386</v>
      </c>
      <c r="C1092" s="4" t="s">
        <v>2387</v>
      </c>
      <c r="D1092" s="4" t="s">
        <v>9</v>
      </c>
      <c r="E1092" s="4" t="s">
        <v>23</v>
      </c>
      <c r="F1092" s="5">
        <v>12.0</v>
      </c>
      <c r="G1092" s="6">
        <v>15255.12</v>
      </c>
      <c r="H1092" s="6">
        <v>183061.44</v>
      </c>
    </row>
    <row r="1093">
      <c r="B1093" s="19" t="s">
        <v>2388</v>
      </c>
      <c r="C1093" s="4" t="s">
        <v>2389</v>
      </c>
      <c r="D1093" s="4" t="s">
        <v>9</v>
      </c>
      <c r="E1093" s="4" t="s">
        <v>23</v>
      </c>
      <c r="F1093" s="5">
        <v>32.0</v>
      </c>
      <c r="G1093" s="6">
        <v>7286.12</v>
      </c>
      <c r="H1093" s="6">
        <v>233155.84</v>
      </c>
    </row>
    <row r="1094">
      <c r="B1094" s="19" t="s">
        <v>2390</v>
      </c>
      <c r="C1094" s="4" t="s">
        <v>2391</v>
      </c>
      <c r="D1094" s="4" t="s">
        <v>9</v>
      </c>
      <c r="E1094" s="4" t="s">
        <v>23</v>
      </c>
      <c r="F1094" s="5">
        <v>4.0</v>
      </c>
      <c r="G1094" s="6">
        <v>46072.23</v>
      </c>
      <c r="H1094" s="6">
        <v>184288.92</v>
      </c>
    </row>
    <row r="1095">
      <c r="B1095" s="4" t="s">
        <v>1516</v>
      </c>
      <c r="C1095" s="4" t="s">
        <v>2392</v>
      </c>
      <c r="D1095" s="4" t="s">
        <v>9</v>
      </c>
      <c r="E1095" s="4" t="s">
        <v>23</v>
      </c>
      <c r="F1095" s="5">
        <v>1.0</v>
      </c>
      <c r="G1095" s="6">
        <v>181603.29</v>
      </c>
      <c r="H1095" s="6">
        <v>181603.29</v>
      </c>
    </row>
    <row r="1096">
      <c r="B1096" s="4" t="s">
        <v>2393</v>
      </c>
      <c r="C1096" s="4" t="s">
        <v>2394</v>
      </c>
      <c r="D1096" s="4" t="s">
        <v>9</v>
      </c>
      <c r="E1096" s="4" t="s">
        <v>23</v>
      </c>
      <c r="F1096" s="5">
        <v>2.0</v>
      </c>
      <c r="G1096" s="6">
        <v>265532.11</v>
      </c>
      <c r="H1096" s="6">
        <v>531064.22</v>
      </c>
    </row>
    <row r="1097">
      <c r="B1097" s="19" t="s">
        <v>2395</v>
      </c>
      <c r="C1097" s="4" t="s">
        <v>2396</v>
      </c>
      <c r="D1097" s="4" t="s">
        <v>9</v>
      </c>
      <c r="E1097" s="4" t="s">
        <v>23</v>
      </c>
      <c r="F1097" s="5">
        <v>4.0</v>
      </c>
      <c r="G1097" s="6">
        <v>57916.21</v>
      </c>
      <c r="H1097" s="6">
        <v>231664.84</v>
      </c>
    </row>
    <row r="1098">
      <c r="B1098" s="4" t="s">
        <v>2397</v>
      </c>
      <c r="C1098" s="4" t="s">
        <v>2398</v>
      </c>
      <c r="D1098" s="4" t="s">
        <v>9</v>
      </c>
      <c r="E1098" s="4" t="s">
        <v>23</v>
      </c>
      <c r="F1098" s="5">
        <v>1.0</v>
      </c>
      <c r="G1098" s="6">
        <v>340130.6</v>
      </c>
      <c r="H1098" s="6">
        <v>340130.6</v>
      </c>
    </row>
    <row r="1099">
      <c r="B1099" s="4" t="s">
        <v>2399</v>
      </c>
      <c r="C1099" s="4" t="s">
        <v>2400</v>
      </c>
      <c r="D1099" s="4" t="s">
        <v>9</v>
      </c>
      <c r="E1099" s="4" t="s">
        <v>23</v>
      </c>
      <c r="F1099" s="5">
        <v>12.0</v>
      </c>
      <c r="G1099" s="6">
        <v>25276.86</v>
      </c>
      <c r="H1099" s="6">
        <v>303322.32</v>
      </c>
    </row>
    <row r="1100">
      <c r="B1100" s="4" t="s">
        <v>2401</v>
      </c>
      <c r="C1100" s="4" t="s">
        <v>2402</v>
      </c>
      <c r="D1100" s="4" t="s">
        <v>9</v>
      </c>
      <c r="E1100" s="4" t="s">
        <v>23</v>
      </c>
      <c r="F1100" s="5">
        <v>2.0</v>
      </c>
      <c r="G1100" s="6">
        <v>134030.6</v>
      </c>
      <c r="H1100" s="6">
        <v>268061.2</v>
      </c>
    </row>
    <row r="1101">
      <c r="B1101" s="4" t="s">
        <v>2403</v>
      </c>
      <c r="C1101" s="4" t="s">
        <v>2404</v>
      </c>
      <c r="D1101" s="4" t="s">
        <v>9</v>
      </c>
      <c r="E1101" s="4" t="s">
        <v>23</v>
      </c>
      <c r="F1101" s="5">
        <v>4.0</v>
      </c>
      <c r="G1101" s="6">
        <v>50177.37</v>
      </c>
      <c r="H1101" s="6">
        <v>200709.48</v>
      </c>
    </row>
    <row r="1102">
      <c r="B1102" s="4" t="s">
        <v>2405</v>
      </c>
      <c r="C1102" s="4" t="s">
        <v>2406</v>
      </c>
      <c r="D1102" s="4" t="s">
        <v>9</v>
      </c>
      <c r="E1102" s="4" t="s">
        <v>23</v>
      </c>
      <c r="F1102" s="5">
        <v>1.0</v>
      </c>
      <c r="G1102" s="6">
        <v>481934.41</v>
      </c>
      <c r="H1102" s="6">
        <v>481934.41</v>
      </c>
    </row>
    <row r="1103">
      <c r="B1103" s="19" t="s">
        <v>2407</v>
      </c>
      <c r="C1103" s="4" t="s">
        <v>2408</v>
      </c>
      <c r="D1103" s="4" t="s">
        <v>9</v>
      </c>
      <c r="E1103" s="4" t="s">
        <v>23</v>
      </c>
      <c r="F1103" s="5">
        <v>6.0</v>
      </c>
      <c r="G1103" s="6">
        <v>37396.86</v>
      </c>
      <c r="H1103" s="6">
        <v>224381.16</v>
      </c>
    </row>
    <row r="1104">
      <c r="B1104" s="19" t="s">
        <v>2409</v>
      </c>
      <c r="C1104" s="4" t="s">
        <v>2410</v>
      </c>
      <c r="D1104" s="4" t="s">
        <v>9</v>
      </c>
      <c r="E1104" s="4" t="s">
        <v>23</v>
      </c>
      <c r="F1104" s="5">
        <v>6.0</v>
      </c>
      <c r="G1104" s="6">
        <v>39525.93</v>
      </c>
      <c r="H1104" s="6">
        <v>237155.58</v>
      </c>
    </row>
    <row r="1105">
      <c r="B1105" s="19" t="s">
        <v>2411</v>
      </c>
      <c r="C1105" s="4" t="s">
        <v>2412</v>
      </c>
      <c r="D1105" s="4" t="s">
        <v>9</v>
      </c>
      <c r="E1105" s="4" t="s">
        <v>23</v>
      </c>
      <c r="F1105" s="5">
        <v>2.0</v>
      </c>
      <c r="G1105" s="6">
        <v>238604.02</v>
      </c>
      <c r="H1105" s="6">
        <v>477208.04</v>
      </c>
    </row>
    <row r="1106">
      <c r="B1106" s="19" t="s">
        <v>2413</v>
      </c>
      <c r="C1106" s="4" t="s">
        <v>2414</v>
      </c>
      <c r="D1106" s="4" t="s">
        <v>9</v>
      </c>
      <c r="E1106" s="4" t="s">
        <v>23</v>
      </c>
      <c r="F1106" s="5">
        <v>4.0</v>
      </c>
      <c r="G1106" s="6">
        <v>44037.28</v>
      </c>
      <c r="H1106" s="6">
        <v>176149.12</v>
      </c>
    </row>
    <row r="1107">
      <c r="B1107" s="19" t="s">
        <v>2415</v>
      </c>
      <c r="C1107" s="4" t="s">
        <v>2416</v>
      </c>
      <c r="D1107" s="4" t="s">
        <v>9</v>
      </c>
      <c r="E1107" s="4" t="s">
        <v>23</v>
      </c>
      <c r="F1107" s="5">
        <v>8.0</v>
      </c>
      <c r="G1107" s="6">
        <v>28348.5</v>
      </c>
      <c r="H1107" s="6">
        <v>226788.0</v>
      </c>
    </row>
    <row r="1108">
      <c r="B1108" s="19" t="s">
        <v>2417</v>
      </c>
      <c r="C1108" s="4" t="s">
        <v>2418</v>
      </c>
      <c r="D1108" s="4" t="s">
        <v>9</v>
      </c>
      <c r="E1108" s="4" t="s">
        <v>23</v>
      </c>
      <c r="F1108" s="5">
        <v>1.0</v>
      </c>
      <c r="G1108" s="6">
        <v>252649.46</v>
      </c>
      <c r="H1108" s="6">
        <v>252649.46</v>
      </c>
    </row>
    <row r="1109">
      <c r="B1109" s="19" t="s">
        <v>2419</v>
      </c>
      <c r="C1109" s="4" t="s">
        <v>2420</v>
      </c>
      <c r="D1109" s="4" t="s">
        <v>9</v>
      </c>
      <c r="E1109" s="4" t="s">
        <v>23</v>
      </c>
      <c r="F1109" s="5">
        <v>1.0</v>
      </c>
      <c r="G1109" s="6">
        <v>252649.46</v>
      </c>
      <c r="H1109" s="6">
        <v>252649.46</v>
      </c>
    </row>
    <row r="1110">
      <c r="B1110" s="19" t="s">
        <v>2421</v>
      </c>
      <c r="C1110" s="4" t="s">
        <v>2422</v>
      </c>
      <c r="D1110" s="4" t="s">
        <v>9</v>
      </c>
      <c r="E1110" s="4" t="s">
        <v>23</v>
      </c>
      <c r="F1110" s="5">
        <v>1.0</v>
      </c>
      <c r="G1110" s="6">
        <v>291719.22</v>
      </c>
      <c r="H1110" s="6">
        <v>291719.22</v>
      </c>
    </row>
    <row r="1111">
      <c r="B1111" s="19" t="s">
        <v>2423</v>
      </c>
      <c r="C1111" s="4" t="s">
        <v>2424</v>
      </c>
      <c r="D1111" s="4" t="s">
        <v>9</v>
      </c>
      <c r="E1111" s="4" t="s">
        <v>23</v>
      </c>
      <c r="F1111" s="5">
        <v>4.0</v>
      </c>
      <c r="G1111" s="6">
        <v>108479.6</v>
      </c>
      <c r="H1111" s="6">
        <v>433918.4</v>
      </c>
    </row>
    <row r="1112">
      <c r="B1112" s="19" t="s">
        <v>2425</v>
      </c>
      <c r="C1112" s="4" t="s">
        <v>2426</v>
      </c>
      <c r="D1112" s="4" t="s">
        <v>9</v>
      </c>
      <c r="E1112" s="4" t="s">
        <v>23</v>
      </c>
      <c r="F1112" s="5">
        <v>4.0</v>
      </c>
      <c r="G1112" s="6">
        <v>124016.38</v>
      </c>
      <c r="H1112" s="6">
        <v>496065.52</v>
      </c>
    </row>
    <row r="1113">
      <c r="B1113" s="4" t="s">
        <v>2427</v>
      </c>
      <c r="C1113" s="4" t="s">
        <v>2428</v>
      </c>
      <c r="D1113" s="4" t="s">
        <v>491</v>
      </c>
      <c r="E1113" s="4" t="s">
        <v>173</v>
      </c>
      <c r="F1113" s="5">
        <v>149.0</v>
      </c>
      <c r="G1113" s="6">
        <v>1825.7</v>
      </c>
      <c r="H1113" s="6">
        <v>272029.3</v>
      </c>
    </row>
    <row r="1114">
      <c r="B1114" s="19" t="s">
        <v>2429</v>
      </c>
      <c r="C1114" s="4" t="s">
        <v>2430</v>
      </c>
      <c r="D1114" s="4" t="s">
        <v>9</v>
      </c>
      <c r="E1114" s="4" t="s">
        <v>23</v>
      </c>
      <c r="F1114" s="5">
        <v>1.0</v>
      </c>
      <c r="G1114" s="6">
        <v>266943.66</v>
      </c>
      <c r="H1114" s="6">
        <v>266943.66</v>
      </c>
    </row>
    <row r="1115">
      <c r="B1115" s="4" t="s">
        <v>2431</v>
      </c>
      <c r="C1115" s="4" t="s">
        <v>2432</v>
      </c>
      <c r="D1115" s="4" t="s">
        <v>9</v>
      </c>
      <c r="E1115" s="4" t="s">
        <v>23</v>
      </c>
      <c r="F1115" s="5">
        <v>1.0</v>
      </c>
      <c r="G1115" s="6">
        <v>320805.11</v>
      </c>
      <c r="H1115" s="6">
        <v>320805.11</v>
      </c>
    </row>
    <row r="1116">
      <c r="B1116" s="4" t="s">
        <v>2433</v>
      </c>
      <c r="C1116" s="4" t="s">
        <v>2434</v>
      </c>
      <c r="D1116" s="4" t="s">
        <v>491</v>
      </c>
      <c r="E1116" s="4" t="s">
        <v>23</v>
      </c>
      <c r="F1116" s="5">
        <v>24.8</v>
      </c>
      <c r="G1116" s="6">
        <v>18635.25</v>
      </c>
      <c r="H1116" s="6">
        <v>462154.2</v>
      </c>
    </row>
    <row r="1117">
      <c r="B1117" s="4" t="s">
        <v>2435</v>
      </c>
      <c r="C1117" s="4" t="s">
        <v>2436</v>
      </c>
      <c r="D1117" s="4" t="s">
        <v>9</v>
      </c>
      <c r="E1117" s="4" t="s">
        <v>23</v>
      </c>
      <c r="F1117" s="5">
        <v>2.0</v>
      </c>
      <c r="G1117" s="6">
        <v>287772.07</v>
      </c>
      <c r="H1117" s="6">
        <v>575544.14</v>
      </c>
    </row>
    <row r="1118">
      <c r="B1118" s="4" t="s">
        <v>2437</v>
      </c>
      <c r="C1118" s="4" t="s">
        <v>2438</v>
      </c>
      <c r="D1118" s="4" t="s">
        <v>9</v>
      </c>
      <c r="E1118" s="4" t="s">
        <v>23</v>
      </c>
      <c r="F1118" s="5">
        <v>1.0</v>
      </c>
      <c r="G1118" s="6">
        <v>296460.4</v>
      </c>
      <c r="H1118" s="6">
        <v>296460.4</v>
      </c>
    </row>
    <row r="1119">
      <c r="B1119" s="4" t="s">
        <v>1057</v>
      </c>
      <c r="C1119" s="4" t="s">
        <v>2439</v>
      </c>
      <c r="D1119" s="4" t="s">
        <v>9</v>
      </c>
      <c r="E1119" s="4" t="s">
        <v>23</v>
      </c>
      <c r="F1119" s="5">
        <v>2.0</v>
      </c>
      <c r="G1119" s="6">
        <v>181282.44</v>
      </c>
      <c r="H1119" s="6">
        <v>362564.88</v>
      </c>
    </row>
    <row r="1120">
      <c r="B1120" s="4" t="s">
        <v>2440</v>
      </c>
      <c r="C1120" s="4" t="s">
        <v>2441</v>
      </c>
      <c r="D1120" s="4" t="s">
        <v>9</v>
      </c>
      <c r="E1120" s="4" t="s">
        <v>23</v>
      </c>
      <c r="F1120" s="5">
        <v>1.0</v>
      </c>
      <c r="G1120" s="6">
        <v>638948.32</v>
      </c>
      <c r="H1120" s="6">
        <v>638948.32</v>
      </c>
    </row>
    <row r="1121">
      <c r="B1121" s="4" t="s">
        <v>2442</v>
      </c>
      <c r="C1121" s="4" t="s">
        <v>2436</v>
      </c>
      <c r="D1121" s="4" t="s">
        <v>9</v>
      </c>
      <c r="E1121" s="4" t="s">
        <v>23</v>
      </c>
      <c r="F1121" s="5">
        <v>1.0</v>
      </c>
      <c r="G1121" s="6">
        <v>288944.32</v>
      </c>
      <c r="H1121" s="6">
        <v>288944.32</v>
      </c>
    </row>
    <row r="1122">
      <c r="B1122" s="4" t="s">
        <v>1647</v>
      </c>
      <c r="C1122" s="4" t="s">
        <v>2443</v>
      </c>
      <c r="D1122" s="4" t="s">
        <v>9</v>
      </c>
      <c r="E1122" s="4" t="s">
        <v>23</v>
      </c>
      <c r="F1122" s="5">
        <v>1.0</v>
      </c>
      <c r="G1122" s="6">
        <v>402886.68</v>
      </c>
      <c r="H1122" s="6">
        <v>402886.68</v>
      </c>
    </row>
    <row r="1123">
      <c r="B1123" s="4" t="s">
        <v>2444</v>
      </c>
      <c r="C1123" s="4" t="s">
        <v>2445</v>
      </c>
      <c r="D1123" s="4" t="s">
        <v>9</v>
      </c>
      <c r="E1123" s="4" t="s">
        <v>23</v>
      </c>
      <c r="F1123" s="5">
        <v>4.0</v>
      </c>
      <c r="G1123" s="6">
        <v>69630.53</v>
      </c>
      <c r="H1123" s="6">
        <v>278522.12</v>
      </c>
    </row>
    <row r="1124">
      <c r="B1124" s="4" t="s">
        <v>2446</v>
      </c>
      <c r="C1124" s="4" t="s">
        <v>2447</v>
      </c>
      <c r="D1124" s="4" t="s">
        <v>9</v>
      </c>
      <c r="E1124" s="4" t="s">
        <v>23</v>
      </c>
      <c r="F1124" s="5">
        <v>1.0</v>
      </c>
      <c r="G1124" s="6">
        <v>365965.9</v>
      </c>
      <c r="H1124" s="6">
        <v>365965.9</v>
      </c>
    </row>
    <row r="1125">
      <c r="B1125" s="4" t="s">
        <v>1161</v>
      </c>
      <c r="C1125" s="4" t="s">
        <v>2448</v>
      </c>
      <c r="D1125" s="4" t="s">
        <v>9</v>
      </c>
      <c r="E1125" s="4" t="s">
        <v>23</v>
      </c>
      <c r="F1125" s="5">
        <v>24.0</v>
      </c>
      <c r="G1125" s="6">
        <v>10470.05</v>
      </c>
      <c r="H1125" s="6">
        <v>251281.2</v>
      </c>
    </row>
    <row r="1126">
      <c r="B1126" s="4" t="s">
        <v>2449</v>
      </c>
      <c r="C1126" s="4" t="s">
        <v>2450</v>
      </c>
      <c r="D1126" s="4" t="s">
        <v>9</v>
      </c>
      <c r="E1126" s="4" t="s">
        <v>23</v>
      </c>
      <c r="F1126" s="5">
        <v>8.0</v>
      </c>
      <c r="G1126" s="6">
        <v>31055.24</v>
      </c>
      <c r="H1126" s="6">
        <v>248441.92</v>
      </c>
    </row>
    <row r="1127">
      <c r="B1127" s="4" t="s">
        <v>2451</v>
      </c>
      <c r="C1127" s="4" t="s">
        <v>2452</v>
      </c>
      <c r="D1127" s="4" t="s">
        <v>9</v>
      </c>
      <c r="E1127" s="4" t="s">
        <v>23</v>
      </c>
      <c r="F1127" s="5">
        <v>20.0</v>
      </c>
      <c r="G1127" s="6">
        <v>12837.58</v>
      </c>
      <c r="H1127" s="6">
        <v>256751.6</v>
      </c>
    </row>
    <row r="1128">
      <c r="B1128" s="4" t="s">
        <v>2453</v>
      </c>
      <c r="C1128" s="4" t="s">
        <v>2454</v>
      </c>
      <c r="D1128" s="4" t="s">
        <v>9</v>
      </c>
      <c r="E1128" s="4" t="s">
        <v>173</v>
      </c>
      <c r="F1128" s="5">
        <v>12.0</v>
      </c>
      <c r="G1128" s="6">
        <v>34589.53</v>
      </c>
      <c r="H1128" s="6">
        <v>415074.36</v>
      </c>
    </row>
    <row r="1129">
      <c r="B1129" s="4" t="s">
        <v>2455</v>
      </c>
      <c r="C1129" s="4" t="s">
        <v>2456</v>
      </c>
      <c r="D1129" s="4" t="s">
        <v>9</v>
      </c>
      <c r="E1129" s="4" t="s">
        <v>23</v>
      </c>
      <c r="F1129" s="5">
        <v>2.0</v>
      </c>
      <c r="G1129" s="6">
        <v>145393.03</v>
      </c>
      <c r="H1129" s="6">
        <v>290786.06</v>
      </c>
    </row>
    <row r="1130">
      <c r="B1130" s="4" t="s">
        <v>2457</v>
      </c>
      <c r="C1130" s="4" t="s">
        <v>2458</v>
      </c>
      <c r="D1130" s="4" t="s">
        <v>9</v>
      </c>
      <c r="E1130" s="4" t="s">
        <v>173</v>
      </c>
      <c r="F1130" s="5">
        <v>5.0</v>
      </c>
      <c r="G1130" s="6">
        <v>53207.2</v>
      </c>
      <c r="H1130" s="6">
        <v>266036.0</v>
      </c>
    </row>
    <row r="1131">
      <c r="B1131" s="4" t="s">
        <v>2459</v>
      </c>
      <c r="C1131" s="4" t="s">
        <v>2460</v>
      </c>
      <c r="D1131" s="4" t="s">
        <v>9</v>
      </c>
      <c r="E1131" s="4" t="s">
        <v>173</v>
      </c>
      <c r="F1131" s="5">
        <v>4.0</v>
      </c>
      <c r="G1131" s="6">
        <v>62003.83</v>
      </c>
      <c r="H1131" s="6">
        <v>248015.32</v>
      </c>
    </row>
    <row r="1132">
      <c r="B1132" s="4" t="s">
        <v>2461</v>
      </c>
      <c r="C1132" s="4" t="s">
        <v>2462</v>
      </c>
      <c r="D1132" s="4" t="s">
        <v>9</v>
      </c>
      <c r="E1132" s="4" t="s">
        <v>23</v>
      </c>
      <c r="F1132" s="5">
        <v>1.0</v>
      </c>
      <c r="G1132" s="6">
        <v>244883.9</v>
      </c>
      <c r="H1132" s="6">
        <v>244883.9</v>
      </c>
    </row>
    <row r="1133">
      <c r="B1133" s="4" t="s">
        <v>2463</v>
      </c>
      <c r="C1133" s="4" t="s">
        <v>2464</v>
      </c>
      <c r="D1133" s="4" t="s">
        <v>9</v>
      </c>
      <c r="E1133" s="4" t="s">
        <v>23</v>
      </c>
      <c r="F1133" s="5">
        <v>1.0</v>
      </c>
      <c r="G1133" s="6">
        <v>187851.12</v>
      </c>
      <c r="H1133" s="6">
        <v>187851.12</v>
      </c>
    </row>
    <row r="1134">
      <c r="B1134" s="4" t="s">
        <v>2465</v>
      </c>
      <c r="C1134" s="4" t="s">
        <v>2466</v>
      </c>
      <c r="D1134" s="4" t="s">
        <v>9</v>
      </c>
      <c r="E1134" s="4" t="s">
        <v>23</v>
      </c>
      <c r="F1134" s="5">
        <v>1.0</v>
      </c>
      <c r="G1134" s="6">
        <v>239157.16</v>
      </c>
      <c r="H1134" s="6">
        <v>239157.16</v>
      </c>
    </row>
    <row r="1135">
      <c r="B1135" s="4" t="s">
        <v>2467</v>
      </c>
      <c r="C1135" s="4" t="s">
        <v>2468</v>
      </c>
      <c r="D1135" s="4" t="s">
        <v>9</v>
      </c>
      <c r="E1135" s="4" t="s">
        <v>23</v>
      </c>
      <c r="F1135" s="5">
        <v>2.0</v>
      </c>
      <c r="G1135" s="6">
        <v>353845.88</v>
      </c>
      <c r="H1135" s="6">
        <v>707691.76</v>
      </c>
    </row>
    <row r="1136">
      <c r="B1136" s="4" t="s">
        <v>1664</v>
      </c>
      <c r="C1136" s="4" t="s">
        <v>2469</v>
      </c>
      <c r="D1136" s="4" t="s">
        <v>9</v>
      </c>
      <c r="E1136" s="4" t="s">
        <v>23</v>
      </c>
      <c r="F1136" s="5">
        <v>549.0</v>
      </c>
      <c r="G1136" s="6">
        <v>6624.73</v>
      </c>
      <c r="H1136" s="6">
        <v>3636976.77</v>
      </c>
    </row>
    <row r="1137">
      <c r="B1137" s="4" t="s">
        <v>2470</v>
      </c>
      <c r="C1137" s="4" t="s">
        <v>2471</v>
      </c>
      <c r="D1137" s="4" t="s">
        <v>9</v>
      </c>
      <c r="E1137" s="4" t="s">
        <v>23</v>
      </c>
      <c r="F1137" s="5">
        <v>34.0</v>
      </c>
      <c r="G1137" s="6">
        <v>17239.76</v>
      </c>
      <c r="H1137" s="6">
        <v>586151.84</v>
      </c>
    </row>
    <row r="1138">
      <c r="B1138" s="4" t="s">
        <v>2472</v>
      </c>
      <c r="C1138" s="4" t="s">
        <v>2473</v>
      </c>
      <c r="D1138" s="4" t="s">
        <v>9</v>
      </c>
      <c r="E1138" s="4" t="s">
        <v>23</v>
      </c>
      <c r="F1138" s="5">
        <v>2.0</v>
      </c>
      <c r="G1138" s="6">
        <v>113882.91</v>
      </c>
      <c r="H1138" s="6">
        <v>227765.82</v>
      </c>
    </row>
    <row r="1139">
      <c r="B1139" s="4" t="s">
        <v>2474</v>
      </c>
      <c r="C1139" s="4" t="s">
        <v>2475</v>
      </c>
      <c r="D1139" s="4" t="s">
        <v>9</v>
      </c>
      <c r="E1139" s="4" t="s">
        <v>23</v>
      </c>
      <c r="F1139" s="5">
        <v>4.0</v>
      </c>
      <c r="G1139" s="6">
        <v>166075.09</v>
      </c>
      <c r="H1139" s="6">
        <v>664300.36</v>
      </c>
    </row>
    <row r="1140">
      <c r="B1140" s="19" t="s">
        <v>2476</v>
      </c>
      <c r="C1140" s="4" t="s">
        <v>2477</v>
      </c>
      <c r="D1140" s="4" t="s">
        <v>9</v>
      </c>
      <c r="E1140" s="4" t="s">
        <v>23</v>
      </c>
      <c r="F1140" s="5">
        <v>1.0</v>
      </c>
      <c r="G1140" s="6">
        <v>4105961.41</v>
      </c>
      <c r="H1140" s="6">
        <v>4105961.41</v>
      </c>
    </row>
    <row r="1141">
      <c r="B1141" s="19" t="s">
        <v>2478</v>
      </c>
      <c r="C1141" s="4" t="s">
        <v>2479</v>
      </c>
      <c r="D1141" s="4" t="s">
        <v>9</v>
      </c>
      <c r="E1141" s="4" t="s">
        <v>23</v>
      </c>
      <c r="F1141" s="5">
        <v>1.0</v>
      </c>
      <c r="G1141" s="6">
        <v>1469307.22</v>
      </c>
      <c r="H1141" s="6">
        <v>1469307.22</v>
      </c>
    </row>
    <row r="1142">
      <c r="B1142" s="19" t="s">
        <v>2480</v>
      </c>
      <c r="C1142" s="4" t="s">
        <v>2481</v>
      </c>
      <c r="D1142" s="4" t="s">
        <v>9</v>
      </c>
      <c r="E1142" s="4" t="s">
        <v>23</v>
      </c>
      <c r="F1142" s="5">
        <v>1.0</v>
      </c>
      <c r="G1142" s="6">
        <v>3262574.74</v>
      </c>
      <c r="H1142" s="6">
        <v>3262574.74</v>
      </c>
    </row>
    <row r="1143">
      <c r="B1143" s="29" t="s">
        <v>2482</v>
      </c>
      <c r="C1143" s="4" t="s">
        <v>2483</v>
      </c>
      <c r="D1143" s="4" t="s">
        <v>9</v>
      </c>
      <c r="E1143" s="4" t="s">
        <v>23</v>
      </c>
      <c r="F1143" s="5">
        <v>1.0</v>
      </c>
      <c r="G1143" s="6">
        <v>5475679.07</v>
      </c>
      <c r="H1143" s="6">
        <v>5475679.07</v>
      </c>
    </row>
    <row r="1144">
      <c r="B1144" s="19" t="s">
        <v>2484</v>
      </c>
      <c r="C1144" s="4" t="s">
        <v>2485</v>
      </c>
      <c r="D1144" s="4" t="s">
        <v>9</v>
      </c>
      <c r="E1144" s="4" t="s">
        <v>23</v>
      </c>
      <c r="F1144" s="5">
        <v>2.0</v>
      </c>
      <c r="G1144" s="6">
        <v>115946.57</v>
      </c>
      <c r="H1144" s="6">
        <v>231893.14</v>
      </c>
    </row>
    <row r="1145">
      <c r="B1145" s="4" t="s">
        <v>2486</v>
      </c>
      <c r="C1145" s="4" t="s">
        <v>2487</v>
      </c>
      <c r="D1145" s="4" t="s">
        <v>9</v>
      </c>
      <c r="E1145" s="4" t="s">
        <v>23</v>
      </c>
      <c r="F1145" s="5">
        <v>3.0</v>
      </c>
      <c r="G1145" s="6">
        <v>98564.05</v>
      </c>
      <c r="H1145" s="6">
        <v>295692.15</v>
      </c>
    </row>
    <row r="1146">
      <c r="B1146" s="4" t="s">
        <v>2488</v>
      </c>
      <c r="C1146" s="4" t="s">
        <v>2489</v>
      </c>
      <c r="D1146" s="4" t="s">
        <v>9</v>
      </c>
      <c r="E1146" s="4" t="s">
        <v>23</v>
      </c>
      <c r="F1146" s="5">
        <v>1.0</v>
      </c>
      <c r="G1146" s="6">
        <v>676544.69</v>
      </c>
      <c r="H1146" s="6">
        <v>676544.69</v>
      </c>
    </row>
    <row r="1147">
      <c r="B1147" s="4" t="s">
        <v>2490</v>
      </c>
      <c r="C1147" s="4" t="s">
        <v>2491</v>
      </c>
      <c r="D1147" s="4" t="s">
        <v>9</v>
      </c>
      <c r="E1147" s="4" t="s">
        <v>23</v>
      </c>
      <c r="F1147" s="5">
        <v>1.0</v>
      </c>
      <c r="G1147" s="6">
        <v>1408246.84</v>
      </c>
      <c r="H1147" s="6">
        <v>1408246.84</v>
      </c>
    </row>
    <row r="1148">
      <c r="B1148" s="4" t="s">
        <v>1567</v>
      </c>
      <c r="C1148" s="4" t="s">
        <v>2492</v>
      </c>
      <c r="D1148" s="4" t="s">
        <v>9</v>
      </c>
      <c r="E1148" s="4" t="s">
        <v>23</v>
      </c>
      <c r="F1148" s="5">
        <v>1.0</v>
      </c>
      <c r="G1148" s="6">
        <v>377002.47</v>
      </c>
      <c r="H1148" s="6">
        <v>377002.47</v>
      </c>
    </row>
    <row r="1149">
      <c r="B1149" s="4" t="s">
        <v>1536</v>
      </c>
      <c r="C1149" s="4" t="s">
        <v>2493</v>
      </c>
      <c r="D1149" s="4" t="s">
        <v>9</v>
      </c>
      <c r="E1149" s="4" t="s">
        <v>23</v>
      </c>
      <c r="F1149" s="5">
        <v>1.0</v>
      </c>
      <c r="G1149" s="6">
        <v>416296.25</v>
      </c>
      <c r="H1149" s="6">
        <v>416296.25</v>
      </c>
    </row>
    <row r="1150">
      <c r="B1150" s="19" t="s">
        <v>2494</v>
      </c>
      <c r="C1150" s="4" t="s">
        <v>2495</v>
      </c>
      <c r="D1150" s="4" t="s">
        <v>9</v>
      </c>
      <c r="E1150" s="4" t="s">
        <v>23</v>
      </c>
      <c r="F1150" s="5">
        <v>18.0</v>
      </c>
      <c r="G1150" s="6">
        <v>11790.71</v>
      </c>
      <c r="H1150" s="6">
        <v>212232.78</v>
      </c>
    </row>
    <row r="1151">
      <c r="B1151" s="19" t="s">
        <v>2496</v>
      </c>
      <c r="C1151" s="4" t="s">
        <v>2497</v>
      </c>
      <c r="D1151" s="4" t="s">
        <v>9</v>
      </c>
      <c r="E1151" s="4" t="s">
        <v>23</v>
      </c>
      <c r="F1151" s="5">
        <v>16.0</v>
      </c>
      <c r="G1151" s="6">
        <v>52839.13</v>
      </c>
      <c r="H1151" s="6">
        <v>845426.08</v>
      </c>
    </row>
    <row r="1152">
      <c r="B1152" s="4" t="s">
        <v>2498</v>
      </c>
      <c r="C1152" s="4" t="s">
        <v>2499</v>
      </c>
      <c r="D1152" s="4" t="s">
        <v>9</v>
      </c>
      <c r="E1152" s="4" t="s">
        <v>23</v>
      </c>
      <c r="F1152" s="5">
        <v>1.0</v>
      </c>
      <c r="G1152" s="6">
        <v>327667.2</v>
      </c>
      <c r="H1152" s="6">
        <v>327667.2</v>
      </c>
    </row>
    <row r="1153">
      <c r="B1153" s="4" t="s">
        <v>2500</v>
      </c>
      <c r="C1153" s="4" t="s">
        <v>2501</v>
      </c>
      <c r="D1153" s="4" t="s">
        <v>9</v>
      </c>
      <c r="E1153" s="4" t="s">
        <v>23</v>
      </c>
      <c r="F1153" s="5">
        <v>1.0</v>
      </c>
      <c r="G1153" s="6">
        <v>375172.99</v>
      </c>
      <c r="H1153" s="6">
        <v>375172.99</v>
      </c>
    </row>
    <row r="1154">
      <c r="B1154" s="4" t="s">
        <v>2502</v>
      </c>
      <c r="C1154" s="4" t="s">
        <v>2503</v>
      </c>
      <c r="D1154" s="4" t="s">
        <v>9</v>
      </c>
      <c r="E1154" s="4" t="s">
        <v>23</v>
      </c>
      <c r="F1154" s="5">
        <v>1.0</v>
      </c>
      <c r="G1154" s="6">
        <v>259884.34</v>
      </c>
      <c r="H1154" s="6">
        <v>259884.34</v>
      </c>
    </row>
    <row r="1155">
      <c r="B1155" s="4" t="s">
        <v>2504</v>
      </c>
      <c r="C1155" s="4" t="s">
        <v>2505</v>
      </c>
      <c r="D1155" s="4" t="s">
        <v>9</v>
      </c>
      <c r="E1155" s="4" t="s">
        <v>23</v>
      </c>
      <c r="F1155" s="5">
        <v>2.0</v>
      </c>
      <c r="G1155" s="6">
        <v>107552.99</v>
      </c>
      <c r="H1155" s="6">
        <v>215105.98</v>
      </c>
    </row>
    <row r="1156">
      <c r="B1156" s="4" t="s">
        <v>2506</v>
      </c>
      <c r="C1156" s="4" t="s">
        <v>2507</v>
      </c>
      <c r="D1156" s="4" t="s">
        <v>9</v>
      </c>
      <c r="E1156" s="4" t="s">
        <v>23</v>
      </c>
      <c r="F1156" s="5">
        <v>1.0</v>
      </c>
      <c r="G1156" s="6">
        <v>176515.23</v>
      </c>
      <c r="H1156" s="6">
        <v>176515.23</v>
      </c>
    </row>
    <row r="1157">
      <c r="B1157" s="19" t="s">
        <v>2508</v>
      </c>
      <c r="C1157" s="4" t="s">
        <v>2509</v>
      </c>
      <c r="D1157" s="4" t="s">
        <v>9</v>
      </c>
      <c r="E1157" s="4" t="s">
        <v>23</v>
      </c>
      <c r="F1157" s="5">
        <v>10.0</v>
      </c>
      <c r="G1157" s="6">
        <v>26424.71</v>
      </c>
      <c r="H1157" s="6">
        <v>264247.1</v>
      </c>
    </row>
    <row r="1158">
      <c r="B1158" s="4" t="s">
        <v>2510</v>
      </c>
      <c r="C1158" s="4" t="s">
        <v>2511</v>
      </c>
      <c r="D1158" s="4" t="s">
        <v>9</v>
      </c>
      <c r="E1158" s="4" t="s">
        <v>23</v>
      </c>
      <c r="F1158" s="5">
        <v>16.0</v>
      </c>
      <c r="G1158" s="6">
        <v>17157.14</v>
      </c>
      <c r="H1158" s="6">
        <v>274514.24</v>
      </c>
    </row>
    <row r="1159">
      <c r="B1159" s="4" t="s">
        <v>2512</v>
      </c>
      <c r="C1159" s="4" t="s">
        <v>2513</v>
      </c>
      <c r="D1159" s="4" t="s">
        <v>9</v>
      </c>
      <c r="E1159" s="4" t="s">
        <v>23</v>
      </c>
      <c r="F1159" s="5">
        <v>4.0</v>
      </c>
      <c r="G1159" s="6">
        <v>60959.86</v>
      </c>
      <c r="H1159" s="6">
        <v>243839.44</v>
      </c>
    </row>
    <row r="1160">
      <c r="B1160" s="4" t="s">
        <v>2514</v>
      </c>
      <c r="C1160" s="4" t="s">
        <v>2515</v>
      </c>
      <c r="D1160" s="4" t="s">
        <v>9</v>
      </c>
      <c r="E1160" s="4" t="s">
        <v>23</v>
      </c>
      <c r="F1160" s="5">
        <v>245.0</v>
      </c>
      <c r="G1160" s="5">
        <v>765.1</v>
      </c>
      <c r="H1160" s="6">
        <v>187449.5</v>
      </c>
    </row>
    <row r="1161">
      <c r="B1161" s="4" t="s">
        <v>2516</v>
      </c>
      <c r="C1161" s="4" t="s">
        <v>2517</v>
      </c>
      <c r="D1161" s="4" t="s">
        <v>9</v>
      </c>
      <c r="E1161" s="4" t="s">
        <v>23</v>
      </c>
      <c r="F1161" s="5">
        <v>4.0</v>
      </c>
      <c r="G1161" s="6">
        <v>142018.25</v>
      </c>
      <c r="H1161" s="6">
        <v>568073.0</v>
      </c>
    </row>
    <row r="1162">
      <c r="B1162" s="4" t="s">
        <v>2518</v>
      </c>
      <c r="C1162" s="4" t="s">
        <v>2519</v>
      </c>
      <c r="D1162" s="4" t="s">
        <v>9</v>
      </c>
      <c r="E1162" s="4" t="s">
        <v>23</v>
      </c>
      <c r="F1162" s="5">
        <v>795.0</v>
      </c>
      <c r="G1162" s="5">
        <v>887.49</v>
      </c>
      <c r="H1162" s="6">
        <v>705554.55</v>
      </c>
    </row>
    <row r="1163">
      <c r="B1163" s="4" t="s">
        <v>2520</v>
      </c>
      <c r="C1163" s="4" t="s">
        <v>2521</v>
      </c>
      <c r="D1163" s="4" t="s">
        <v>9</v>
      </c>
      <c r="E1163" s="4" t="s">
        <v>23</v>
      </c>
      <c r="F1163" s="5">
        <v>1.0</v>
      </c>
      <c r="G1163" s="6">
        <v>445563.51</v>
      </c>
      <c r="H1163" s="6">
        <v>445563.51</v>
      </c>
    </row>
    <row r="1164">
      <c r="B1164" s="4" t="s">
        <v>2522</v>
      </c>
      <c r="C1164" s="4" t="s">
        <v>2523</v>
      </c>
      <c r="D1164" s="4" t="s">
        <v>9</v>
      </c>
      <c r="E1164" s="4" t="s">
        <v>23</v>
      </c>
      <c r="F1164" s="5">
        <v>6.0</v>
      </c>
      <c r="G1164" s="6">
        <v>78432.56</v>
      </c>
      <c r="H1164" s="6">
        <v>470595.36</v>
      </c>
    </row>
    <row r="1165">
      <c r="B1165" s="4" t="s">
        <v>2524</v>
      </c>
      <c r="C1165" s="4" t="s">
        <v>2525</v>
      </c>
      <c r="D1165" s="4" t="s">
        <v>9</v>
      </c>
      <c r="E1165" s="4" t="s">
        <v>23</v>
      </c>
      <c r="F1165" s="5">
        <v>4.0</v>
      </c>
      <c r="G1165" s="6">
        <v>54971.74</v>
      </c>
      <c r="H1165" s="6">
        <v>219886.96</v>
      </c>
    </row>
    <row r="1166">
      <c r="B1166" s="4" t="s">
        <v>2526</v>
      </c>
      <c r="C1166" s="4" t="s">
        <v>2527</v>
      </c>
      <c r="D1166" s="4" t="s">
        <v>9</v>
      </c>
      <c r="E1166" s="4" t="s">
        <v>23</v>
      </c>
      <c r="F1166" s="5">
        <v>4.0</v>
      </c>
      <c r="G1166" s="6">
        <v>295100.83</v>
      </c>
      <c r="H1166" s="6">
        <v>1180403.32</v>
      </c>
    </row>
    <row r="1167">
      <c r="B1167" s="30"/>
      <c r="C1167" s="30"/>
      <c r="D1167" s="30"/>
      <c r="E1167" s="30"/>
      <c r="F1167" s="30"/>
      <c r="G1167" s="30"/>
      <c r="H1167" s="30"/>
    </row>
  </sheetData>
  <hyperlinks>
    <hyperlink r:id="rId1" ref="B18"/>
    <hyperlink r:id="rId2" ref="B37"/>
    <hyperlink r:id="rId3" ref="B53"/>
    <hyperlink r:id="rId4" ref="B61"/>
    <hyperlink r:id="rId5" ref="B63"/>
    <hyperlink r:id="rId6" ref="B65"/>
    <hyperlink r:id="rId7" ref="B68"/>
    <hyperlink r:id="rId8" ref="B69"/>
    <hyperlink r:id="rId9" ref="B70"/>
    <hyperlink r:id="rId10" ref="B79"/>
    <hyperlink r:id="rId11" ref="B82"/>
    <hyperlink r:id="rId12" ref="B101"/>
    <hyperlink r:id="rId13" ref="B102"/>
    <hyperlink r:id="rId14" ref="B122"/>
    <hyperlink r:id="rId15" ref="B124"/>
    <hyperlink r:id="rId16" ref="B125"/>
    <hyperlink r:id="rId17" ref="B144"/>
    <hyperlink r:id="rId18" ref="B159"/>
    <hyperlink r:id="rId19" ref="B168"/>
    <hyperlink r:id="rId20" ref="B176"/>
    <hyperlink r:id="rId21" ref="B177"/>
    <hyperlink r:id="rId22" ref="B178"/>
    <hyperlink r:id="rId23" ref="B179"/>
    <hyperlink r:id="rId24" ref="B190"/>
    <hyperlink r:id="rId25" ref="B205"/>
    <hyperlink r:id="rId26" ref="B222"/>
    <hyperlink r:id="rId27" ref="B226"/>
    <hyperlink r:id="rId28" ref="B230"/>
    <hyperlink r:id="rId29" ref="B237"/>
    <hyperlink r:id="rId30" ref="B238"/>
    <hyperlink r:id="rId31" ref="B249"/>
    <hyperlink r:id="rId32" ref="B289"/>
    <hyperlink r:id="rId33" ref="B290"/>
    <hyperlink r:id="rId34" ref="B291"/>
    <hyperlink r:id="rId35" ref="B296"/>
    <hyperlink r:id="rId36" ref="B297"/>
    <hyperlink r:id="rId37" ref="B299"/>
    <hyperlink r:id="rId38" ref="B304"/>
    <hyperlink r:id="rId39" ref="B307"/>
    <hyperlink r:id="rId40" ref="B313"/>
    <hyperlink r:id="rId41" ref="B314"/>
    <hyperlink r:id="rId42" ref="B318"/>
    <hyperlink r:id="rId43" ref="B338"/>
    <hyperlink r:id="rId44" ref="B340"/>
    <hyperlink r:id="rId45" ref="B369"/>
    <hyperlink r:id="rId46" ref="B374"/>
    <hyperlink r:id="rId47" ref="B379"/>
    <hyperlink r:id="rId48" ref="B380"/>
    <hyperlink r:id="rId49" ref="B381"/>
    <hyperlink r:id="rId50" ref="B382"/>
    <hyperlink r:id="rId51" ref="B385"/>
    <hyperlink r:id="rId52" ref="B386"/>
    <hyperlink r:id="rId53" ref="B387"/>
    <hyperlink r:id="rId54" ref="B388"/>
    <hyperlink r:id="rId55" ref="B389"/>
    <hyperlink r:id="rId56" ref="B390"/>
    <hyperlink r:id="rId57" ref="B391"/>
    <hyperlink r:id="rId58" ref="B393"/>
    <hyperlink r:id="rId59" ref="B394"/>
    <hyperlink r:id="rId60" ref="B395"/>
    <hyperlink r:id="rId61" ref="B402"/>
    <hyperlink r:id="rId62" ref="B408"/>
    <hyperlink r:id="rId63" ref="B409"/>
    <hyperlink r:id="rId64" ref="B443"/>
    <hyperlink r:id="rId65" ref="B452"/>
    <hyperlink r:id="rId66" ref="B468"/>
    <hyperlink r:id="rId67" ref="B470"/>
    <hyperlink r:id="rId68" ref="B473"/>
    <hyperlink r:id="rId69" ref="B475"/>
    <hyperlink r:id="rId70" ref="B476"/>
    <hyperlink r:id="rId71" ref="B516"/>
    <hyperlink r:id="rId72" ref="B523"/>
    <hyperlink r:id="rId73" ref="B524"/>
    <hyperlink r:id="rId74" ref="B525"/>
    <hyperlink r:id="rId75" ref="B527"/>
    <hyperlink r:id="rId76" ref="B528"/>
    <hyperlink r:id="rId77" ref="B529"/>
    <hyperlink r:id="rId78" ref="B530"/>
    <hyperlink r:id="rId79" ref="B531"/>
    <hyperlink r:id="rId80" ref="B532"/>
    <hyperlink r:id="rId81" ref="B533"/>
    <hyperlink r:id="rId82" ref="B537"/>
    <hyperlink r:id="rId83" ref="B545"/>
    <hyperlink r:id="rId84" ref="B546"/>
    <hyperlink r:id="rId85" ref="B557"/>
    <hyperlink r:id="rId86" ref="B558"/>
    <hyperlink r:id="rId87" ref="B593"/>
    <hyperlink r:id="rId88" ref="B598"/>
    <hyperlink r:id="rId89" ref="B599"/>
    <hyperlink r:id="rId90" ref="B607"/>
    <hyperlink r:id="rId91" ref="B608"/>
    <hyperlink r:id="rId92" ref="B627"/>
    <hyperlink r:id="rId93" ref="B634"/>
    <hyperlink r:id="rId94" ref="B635"/>
    <hyperlink r:id="rId95" ref="B637"/>
    <hyperlink r:id="rId96" ref="B658"/>
    <hyperlink r:id="rId97" ref="B663"/>
    <hyperlink r:id="rId98" ref="B666"/>
    <hyperlink r:id="rId99" ref="B667"/>
    <hyperlink r:id="rId100" ref="B668"/>
    <hyperlink r:id="rId101" ref="B683"/>
    <hyperlink r:id="rId102" ref="B685"/>
    <hyperlink r:id="rId103" ref="B686"/>
    <hyperlink r:id="rId104" ref="B688"/>
    <hyperlink r:id="rId105" ref="B694"/>
    <hyperlink r:id="rId106" ref="B696"/>
    <hyperlink r:id="rId107" ref="B697"/>
    <hyperlink r:id="rId108" ref="B701"/>
    <hyperlink r:id="rId109" ref="B718"/>
    <hyperlink r:id="rId110" ref="B720"/>
    <hyperlink r:id="rId111" ref="B732"/>
    <hyperlink r:id="rId112" ref="B736"/>
    <hyperlink r:id="rId113" ref="B740"/>
    <hyperlink r:id="rId114" ref="B741"/>
    <hyperlink r:id="rId115" ref="B742"/>
    <hyperlink r:id="rId116" ref="B749"/>
    <hyperlink r:id="rId117" ref="B750"/>
    <hyperlink r:id="rId118" ref="B751"/>
    <hyperlink r:id="rId119" ref="B752"/>
    <hyperlink r:id="rId120" ref="B759"/>
    <hyperlink r:id="rId121" ref="B760"/>
    <hyperlink r:id="rId122" ref="B763"/>
    <hyperlink r:id="rId123" ref="B764"/>
    <hyperlink r:id="rId124" ref="B781"/>
    <hyperlink r:id="rId125" ref="B783"/>
    <hyperlink r:id="rId126" ref="B785"/>
    <hyperlink r:id="rId127" ref="B793"/>
    <hyperlink r:id="rId128" ref="B807"/>
    <hyperlink r:id="rId129" ref="B811"/>
    <hyperlink r:id="rId130" ref="B922"/>
    <hyperlink r:id="rId131" ref="B934"/>
    <hyperlink r:id="rId132" ref="B950"/>
    <hyperlink r:id="rId133" ref="B951"/>
    <hyperlink r:id="rId134" ref="B959"/>
    <hyperlink r:id="rId135" ref="B960"/>
    <hyperlink r:id="rId136" ref="B961"/>
    <hyperlink r:id="rId137" ref="B962"/>
    <hyperlink r:id="rId138" ref="B963"/>
    <hyperlink r:id="rId139" ref="B965"/>
    <hyperlink r:id="rId140" ref="B966"/>
    <hyperlink r:id="rId141" ref="B967"/>
    <hyperlink r:id="rId142" ref="B972"/>
    <hyperlink r:id="rId143" ref="B973"/>
    <hyperlink r:id="rId144" ref="B974"/>
    <hyperlink r:id="rId145" ref="B983"/>
    <hyperlink r:id="rId146" ref="B984"/>
    <hyperlink r:id="rId147" ref="B986"/>
    <hyperlink r:id="rId148" ref="B987"/>
    <hyperlink r:id="rId149" ref="B990"/>
    <hyperlink r:id="rId150" ref="B991"/>
    <hyperlink r:id="rId151" ref="B992"/>
    <hyperlink r:id="rId152" ref="B998"/>
    <hyperlink r:id="rId153" ref="B999"/>
    <hyperlink r:id="rId154" ref="B1000"/>
    <hyperlink r:id="rId155" ref="B1009"/>
    <hyperlink r:id="rId156" ref="B1010"/>
    <hyperlink r:id="rId157" ref="B1018"/>
    <hyperlink r:id="rId158" ref="B1022"/>
    <hyperlink r:id="rId159" ref="B1023"/>
    <hyperlink r:id="rId160" ref="B1024"/>
    <hyperlink r:id="rId161" ref="B1025"/>
    <hyperlink r:id="rId162" ref="B1026"/>
    <hyperlink r:id="rId163" ref="B1028"/>
    <hyperlink r:id="rId164" ref="B1040"/>
    <hyperlink r:id="rId165" ref="B1041"/>
    <hyperlink r:id="rId166" ref="B1060"/>
    <hyperlink r:id="rId167" ref="B1061"/>
    <hyperlink r:id="rId168" ref="B1062"/>
    <hyperlink r:id="rId169" ref="B1063"/>
    <hyperlink r:id="rId170" ref="B1064"/>
    <hyperlink r:id="rId171" ref="B1066"/>
    <hyperlink r:id="rId172" ref="B1077"/>
    <hyperlink r:id="rId173" ref="B1079"/>
    <hyperlink r:id="rId174" ref="B1080"/>
    <hyperlink r:id="rId175" ref="B1081"/>
    <hyperlink r:id="rId176" ref="B1082"/>
    <hyperlink r:id="rId177" ref="B1083"/>
    <hyperlink r:id="rId178" ref="B1090"/>
    <hyperlink r:id="rId179" ref="B1091"/>
    <hyperlink r:id="rId180" ref="B1092"/>
    <hyperlink r:id="rId181" ref="B1093"/>
    <hyperlink r:id="rId182" ref="B1094"/>
    <hyperlink r:id="rId183" ref="B1097"/>
    <hyperlink r:id="rId184" ref="B1103"/>
    <hyperlink r:id="rId185" ref="B1104"/>
    <hyperlink r:id="rId186" ref="B1105"/>
    <hyperlink r:id="rId187" ref="B1106"/>
    <hyperlink r:id="rId188" ref="B1107"/>
    <hyperlink r:id="rId189" ref="B1108"/>
    <hyperlink r:id="rId190" ref="B1109"/>
    <hyperlink r:id="rId191" ref="B1110"/>
    <hyperlink r:id="rId192" ref="B1111"/>
    <hyperlink r:id="rId193" ref="B1112"/>
    <hyperlink r:id="rId194" ref="B1114"/>
    <hyperlink r:id="rId195" ref="B1140"/>
    <hyperlink r:id="rId196" ref="B1141"/>
    <hyperlink r:id="rId197" ref="B1142"/>
    <hyperlink r:id="rId198" ref="B1143"/>
    <hyperlink r:id="rId199" ref="B1144"/>
    <hyperlink r:id="rId200" ref="B1150"/>
    <hyperlink r:id="rId201" ref="B1151"/>
    <hyperlink r:id="rId202" ref="B1157"/>
  </hyperlinks>
  <drawing r:id="rId203"/>
</worksheet>
</file>